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gheewal\Downloads\AI PM Training\Assignments\Capstone_Project\Capstone Projects\Deliverables\"/>
    </mc:Choice>
  </mc:AlternateContent>
  <xr:revisionPtr revIDLastSave="0" documentId="8_{E144AB5D-198F-4100-AA48-3BDC5278B4BF}" xr6:coauthVersionLast="47" xr6:coauthVersionMax="47" xr10:uidLastSave="{00000000-0000-0000-0000-000000000000}"/>
  <bookViews>
    <workbookView xWindow="-120" yWindow="-120" windowWidth="29040" windowHeight="15720" tabRatio="500" xr2:uid="{00000000-000D-0000-FFFF-FFFF00000000}"/>
  </bookViews>
  <sheets>
    <sheet name="Case Study" sheetId="1" r:id="rId1"/>
    <sheet name="Assumptions" sheetId="2" r:id="rId2"/>
    <sheet name="Cost Estimator" sheetId="3" r:id="rId3"/>
    <sheet name="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5" i="3" l="1"/>
  <c r="D27" i="4" s="1"/>
  <c r="H31" i="3"/>
  <c r="G31" i="3"/>
  <c r="H30" i="3"/>
  <c r="G30" i="3"/>
  <c r="H29" i="3"/>
  <c r="G29" i="3"/>
  <c r="H28" i="3"/>
  <c r="G28" i="3"/>
  <c r="H27" i="3"/>
  <c r="G27" i="3"/>
  <c r="H26" i="3"/>
  <c r="G26" i="3"/>
  <c r="G22" i="3"/>
  <c r="H21" i="3"/>
  <c r="G21" i="3"/>
  <c r="H20" i="3"/>
  <c r="G20" i="3"/>
  <c r="H10" i="3"/>
  <c r="G10" i="3"/>
  <c r="H9" i="3"/>
  <c r="G9" i="3"/>
  <c r="I9" i="3" s="1"/>
  <c r="D9" i="4" s="1"/>
  <c r="H8" i="3"/>
  <c r="I8" i="3" s="1"/>
  <c r="D8" i="4" s="1"/>
  <c r="G8" i="3"/>
  <c r="H7" i="3"/>
  <c r="G7" i="3"/>
  <c r="I7" i="3" s="1"/>
  <c r="D7" i="4" l="1"/>
  <c r="I10" i="3"/>
  <c r="C26" i="4" l="1"/>
  <c r="D26" i="4"/>
  <c r="D10" i="4"/>
  <c r="D24" i="4" s="1"/>
  <c r="C24" i="4"/>
  <c r="D22" i="4" l="1"/>
  <c r="C22" i="4"/>
  <c r="D23" i="4"/>
  <c r="C23" i="4"/>
  <c r="C25" i="4"/>
  <c r="D2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Akshay Seth</author>
  </authors>
  <commentList>
    <comment ref="C7" authorId="0" shapeId="0" xr:uid="{00000000-0006-0000-0100-000001000000}">
      <text>
        <r>
          <rPr>
            <sz val="11"/>
            <color theme="1"/>
            <rFont val="Calibri"/>
            <family val="2"/>
            <charset val="1"/>
          </rPr>
          <t>Akshay Seth:
Source: OpenAI API Pricing, https://openai.com/api/pricing/ (gpt-5.4-nano standard)</t>
        </r>
      </text>
    </comment>
    <comment ref="C8" authorId="0" shapeId="0" xr:uid="{00000000-0006-0000-0100-000002000000}">
      <text>
        <r>
          <rPr>
            <sz val="11"/>
            <color theme="1"/>
            <rFont val="Calibri"/>
            <family val="2"/>
            <charset val="1"/>
          </rPr>
          <t>Akshay Seth:
Source: OpenAI API Pricing, https://openai.com/api/pricing/ (gpt-5.4-mini standard)</t>
        </r>
      </text>
    </comment>
    <comment ref="C9" authorId="0" shapeId="0" xr:uid="{00000000-0006-0000-0100-000003000000}">
      <text>
        <r>
          <rPr>
            <sz val="11"/>
            <color theme="1"/>
            <rFont val="Calibri"/>
            <family val="2"/>
            <charset val="1"/>
          </rPr>
          <t>Akshay Seth:
Source: OpenAI API Pricing, https://openai.com/api/pricing/ (gpt-5.4-mini standard)</t>
        </r>
      </text>
    </comment>
  </commentList>
</comments>
</file>

<file path=xl/sharedStrings.xml><?xml version="1.0" encoding="utf-8"?>
<sst xmlns="http://schemas.openxmlformats.org/spreadsheetml/2006/main" count="184" uniqueCount="158">
  <si>
    <t>Summary  |  Model Selection &amp; Cost Overview</t>
  </si>
  <si>
    <t>Instructions: Fill in your model choices and total monthly cost per feature from the Cost Estimator sheet. Be ready to share with the class.</t>
  </si>
  <si>
    <t>CODEBASICS – AI PRODUCT COST SUMMARY</t>
  </si>
  <si>
    <t>Feature / Use Case</t>
  </si>
  <si>
    <t>Mapped AI Use Case</t>
  </si>
  <si>
    <t>Model Selected</t>
  </si>
  <si>
    <t>Total Monthly Cost ($)</t>
  </si>
  <si>
    <t>Rationale for Model Choice</t>
  </si>
  <si>
    <t>Auto-Tagging &amp; Classification</t>
  </si>
  <si>
    <t>Classification</t>
  </si>
  <si>
    <t>gpt-5.4-nano</t>
  </si>
  <si>
    <t>Simple, high-volume tag assignment — the cheapest model is enough; no reasoning model needed.</t>
  </si>
  <si>
    <t>Content Extraction &amp; Captioning</t>
  </si>
  <si>
    <t>OCR / Vision Extraction</t>
  </si>
  <si>
    <t>gpt-5.4-mini</t>
  </si>
  <si>
    <t>Vision to read images / slides / PDFs + structured caption; mini balances accuracy and cost at scale.</t>
  </si>
  <si>
    <t>Natural-Language Search &amp; Clarification</t>
  </si>
  <si>
    <t>Conversational AI / RAG</t>
  </si>
  <si>
    <t>Conversational-quality ranking + clarifying questions at low cost; upgrade only on quality complaints.</t>
  </si>
  <si>
    <t>TOTAL ESTIMATED MONTHLY API COST</t>
  </si>
  <si>
    <t>CLASS DISCUSSION PROMPTS</t>
  </si>
  <si>
    <t>1. Which model did you choose for auto-tagging and why? Is a reasoning/flagship model necessary for fixed-category tagging?</t>
  </si>
  <si>
    <t>2. How did you estimate monthly volume for extraction and tagging given a library of thousands of assets plus new ones each week?</t>
  </si>
  <si>
    <t>3. For natural-language search, how did you balance answer quality vs. cost? Would you cache the system prompt or trim RAG context?</t>
  </si>
  <si>
    <t>4. What changes if ingestion (extraction + tagging) runs on the Batch API at −50%? What about prompt caching on the search prompt?</t>
  </si>
  <si>
    <t>5. Given the tiny API cost versus the staff time saved, how would you frame the ROI to the founder?</t>
  </si>
  <si>
    <t xml:space="preserve"> KEY INSIGHTS</t>
  </si>
  <si>
    <t>Assumed monthly AI budget for the assistant</t>
  </si>
  <si>
    <t>Insight</t>
  </si>
  <si>
    <t>Calculation</t>
  </si>
  <si>
    <t>Result</t>
  </si>
  <si>
    <t>Content Extraction share of total cost</t>
  </si>
  <si>
    <t>Natural-Language Search share of total cost</t>
  </si>
  <si>
    <t>Auto-Tagging share of total cost</t>
  </si>
  <si>
    <t>Budget used</t>
  </si>
  <si>
    <t>Saving if Batch API (−50%) on ingestion (tagging + extraction)</t>
  </si>
  <si>
    <t>One-time initial indexing (backfill ~20,000 assets)</t>
  </si>
  <si>
    <t>extract + tag + embed, one-off</t>
  </si>
  <si>
    <t>COST ESTIMATOR ACTIVITY  |  Codebasics — Digital Asset Assistant (AI Cost Model)</t>
  </si>
  <si>
    <t>🕐  Time Budget: 30 minutes     |     Read the case carefully before moving to the Assumptions &amp; Cost Estimator sheets</t>
  </si>
  <si>
    <t>ABOUT THE ENGAGEMENT — AI PRODUCT MANAGEMENT</t>
  </si>
  <si>
    <t>1. This is the AI cost-estimation exercise for the Codebasics Digital Asset Assistant capstone.
2. The AI PM's job is to translate Codebasics' asset-management pain points into scoped AI features and estimate the monthly API cost before build.
3. Each feature is priced with token-based model pricing, matched to task complexity — you don't pay flagship prices for a simple job.</t>
  </si>
  <si>
    <t>THE ORGANISATION — Codebasics</t>
  </si>
  <si>
    <t>Codebasics is an ed-tech company that began as a YouTube channel in 2016 and grew into a full learning platform — courses, bootcamps, YouTube tutorials and community content. A decade of production has left thousands of digital assets (thumbnails, slide decks, PDFs, promo creatives, videos) scattered across drives with no catalog. Founder Dhaval Patel wants an AI assistant that lets any team member find the right asset by simply describing it — and needs an estimated monthly API cost model before committing to build.</t>
  </si>
  <si>
    <t>DISCOVERY CONVERSATION  |  AI PM speaks to Dhaval Patel (Codebasics Founder)</t>
  </si>
  <si>
    <t>AI PM</t>
  </si>
  <si>
    <t>Dhaval, before we talk solution, help me understand the day-to-day friction. What are the top three things slowing your content teams down when it comes to finding and reusing assets?</t>
  </si>
  <si>
    <t>Dhaval Patel (Codebasics Founder)</t>
  </si>
  <si>
    <t>First — nobody can search inside our files. A thumbnail, a slide deck, a PDF: the filename rarely says what's actually in it, and you obviously can't search the text inside an image or a slide.
We need something that automatically reads what's inside every asset and describes it, so the content itself becomes searchable.</t>
  </si>
  <si>
    <t>Understood — the content itself has to become searchable, not just the filename. What's the second area?</t>
  </si>
  <si>
    <t>Organisation. Even once you know what's in a file, nothing is consistently labelled — is it a thumbnail or an in-video slide? Which course, which topic?
With thousands of assets and people adding more every week, we need every asset automatically tagged by type and topic so the library stays organised.</t>
  </si>
  <si>
    <t>That's a classification problem — turning messy files into consistently tagged, findable assets. And the third?</t>
  </si>
  <si>
    <t>The actual finding. Today people browse folders, ask colleagues, or give up and rebuild something that already existed.
We want anyone to just type what they need — 'the final Power BI thumbnail', 'the linear regression photo' — in plain language and get the right asset back, with the tool asking a clarifying question when the request is ambiguous.</t>
  </si>
  <si>
    <t>Perfect. So three well-defined AI use cases: automatically read and caption what's inside each asset, auto-tag every asset by type and topic, and a natural-language search layer that returns the right asset and clarifies when unsure. Let me map these to the right models and come back with a monthly cost model.</t>
  </si>
  <si>
    <t>YOUR TASK – Step-by-Step Activity Instructions</t>
  </si>
  <si>
    <t>Step 1 – Map Requirements to Features  (5 mins)</t>
  </si>
  <si>
    <t>Re-read Dhaval's three needs. For each one, identify which AI feature / use case it maps to from this list:
   a)  Natural-Language Search  (Conversational / RAG)
   b)  Auto-Tagging  (Classification)
   c)  Content Extraction &amp; Captioning  (Vision / OCR)
   d)  Sentiment Analysis
   e)  Audio Transcription
   f)  Summarization
Note your reasoning — why does that need map to that specific feature?</t>
  </si>
  <si>
    <t>Step 2 – Fill the Assumptions Sheet  (8 mins)</t>
  </si>
  <si>
    <t>Go to the Assumptions tab. Research and fill in ONE model per feature (openai.com/api/pricing or another provider). Fill in:
   - Model name  |  Model ID  |  Input ($/1M)  |  Cached Input ($/1M)  |  Output ($/1M)
Tip: match the model to task complexity — auto-tagging is a simple, high-volume job and does not need a flagship model; extraction needs a vision-capable model.</t>
  </si>
  <si>
    <t>Step 3 – Fill the Cost Estimator Sheet  (12 mins)</t>
  </si>
  <si>
    <t>Go to the Cost Estimator tab. Fill in one row per feature:
   - Feature / Use Case  |  Category  |  Monthly Volume  |  Avg Input Tokens/req  |  Avg Output Tokens/req  |  Model
Use realistic assumptions for Codebasics' scale (a library of thousands of assets, ~1,000–2,000 new/updated assets a month, ~10,000–15,000 searches a month).
Hint: Monthly Cost = (Monthly Volume × Avg Tokens / 1,000,000) × Rate ($/1M)</t>
  </si>
  <si>
    <t>Step 4 – Fill the Summary Sheet  (5 mins)</t>
  </si>
  <si>
    <t>Go to the Summary tab. Enter the total estimated monthly cost per feature and compute the grand total. Be prepared to share your numbers and your model choices with the class.</t>
  </si>
  <si>
    <t>Assumptions Sheet  |  Fill in model pricing from openai.com/api/pricing</t>
  </si>
  <si>
    <t>Instructions: Visit openai.com/api/pricing or anyother provider  → find the model you want to use for each feature → fill in the yellow cells below. You may add more rows for additional models.</t>
  </si>
  <si>
    <t>TEXT / REASONING MODELS  —  Prices per 1 Million Tokens (USD)</t>
  </si>
  <si>
    <t>Model Name</t>
  </si>
  <si>
    <t>Model ID</t>
  </si>
  <si>
    <t>Input
($/1M tokens)</t>
  </si>
  <si>
    <t>Cached Input
($/1M tokens)</t>
  </si>
  <si>
    <t>Output
($/1M tokens)</t>
  </si>
  <si>
    <t>Notes / Use Case</t>
  </si>
  <si>
    <t>GPT-5.4 Nano</t>
  </si>
  <si>
    <t>Auto-Tagging / Classification — cheapest model; simple, high-volume tag assignment</t>
  </si>
  <si>
    <t>GPT-5.4 Mini</t>
  </si>
  <si>
    <t>Content Extraction &amp; Captioning — vision-capable; reads images/slides/PDFs → caption + fields</t>
  </si>
  <si>
    <t>Natural-Language Search &amp; Clarification — ranks + explains matches, asks clarifying questions</t>
  </si>
  <si>
    <t>GPT-5.4 Embed</t>
  </si>
  <si>
    <t>gpt-5.4-embed</t>
  </si>
  <si>
    <t>—</t>
  </si>
  <si>
    <t>Semantic + duplicate search — embeds each asset &amp; query (input-only, very low cost)</t>
  </si>
  <si>
    <t>💡  Tip: 1 token ≈ 0.75 words  |  A 200-word prompt ≈ ~267 input tokens  |  A 100-word response ≈ ~133 output tokens</t>
  </si>
  <si>
    <t>WHY THESE MODELS WERE CHOSEN  (match model to task complexity — don't pay flagship prices for simple jobs)</t>
  </si>
  <si>
    <t>Feature</t>
  </si>
  <si>
    <t>Model chosen</t>
  </si>
  <si>
    <t>Reasoning + alternative considered</t>
  </si>
  <si>
    <t>Auto-Tagging (Classification)</t>
  </si>
  <si>
    <t>Simple mapping into a fixed set of asset types (thumbnail, slide, banner…) and topics — no reasoning needed, and it runs on every asset so the cheapest model matters most.</t>
  </si>
  <si>
    <t>Needs vision to read thumbnails, slides and scanned PDFs and emit a caption + structured tags. Flagship considered for max accuracy but ~3x+ the cost for marginal gain at this scale.</t>
  </si>
  <si>
    <t>Natural-Language Search</t>
  </si>
  <si>
    <t>Conversational-quality ranking explanations and clarifying questions at low cost; upgrade to flagship only if users report poor relevance.</t>
  </si>
  <si>
    <t>Note: prices follow the provided GPT-5.4 rate card (cells C7:E10). Cheaper levers: Batch API −50% for non-real-time ingestion (extraction + tagging); prompt caching −75–90% on the repeated search system prompt. Verify live rates before finalising.</t>
  </si>
  <si>
    <t>STEP 1 — REQUIREMENT → AI FEATURE MAPPING  (map first, then price)</t>
  </si>
  <si>
    <t>Business need (Codebasics)</t>
  </si>
  <si>
    <t>Mapped AI feature / use case</t>
  </si>
  <si>
    <t>Why it maps there</t>
  </si>
  <si>
    <t>Filenames don't describe content; can't search inside images, slides or PDFs</t>
  </si>
  <si>
    <t>Content Extraction &amp; Captioning (Vision / OCR)</t>
  </si>
  <si>
    <t>Reads the pixels/text inside each asset and produces a searchable caption + extracted fields.</t>
  </si>
  <si>
    <t>Thousands of assets are inconsistently labelled by type and topic</t>
  </si>
  <si>
    <t>Assigns each asset to a fixed set of types and topics — a classic classification task.</t>
  </si>
  <si>
    <t>People can't find assets; they browse, ask a colleague, or rebuild</t>
  </si>
  <si>
    <t>Natural-Language Search (Conversational / RAG)</t>
  </si>
  <si>
    <t>Interprets a plain-language request, retrieves and ranks candidates, and asks a clarifying question when ambiguous.</t>
  </si>
  <si>
    <t>Decoys not used: Sentiment Analysis, Audio Transcription, Summarization — none of the three needs match these. Embeddings power retrieval but are a low-cost supporting component (noted separately).</t>
  </si>
  <si>
    <t>Cost Estimator  |  Codebasics Digital Asset Assistant – AI Product Cost Model</t>
  </si>
  <si>
    <t>Instructions: Fill in one row per AI feature. Use the Assumptions sheet for model pricing. Build the cost formula yourself: Monthly Cost ($) = (Monthly Volume × Avg Tokens / 1,000,000) × Rate ($/1M)</t>
  </si>
  <si>
    <t>CODEBASICS DIGITAL ASSET ASSISTANT – AI FEATURE COST ESTIMATION</t>
  </si>
  <si>
    <t>Category</t>
  </si>
  <si>
    <t>Monthly
Volume</t>
  </si>
  <si>
    <t>Avg Input
Tokens / req</t>
  </si>
  <si>
    <t>Avg Output
Tokens / req</t>
  </si>
  <si>
    <t>Model Selected
(from Assumptions)</t>
  </si>
  <si>
    <t>Monthly Input
Cost ($)</t>
  </si>
  <si>
    <t>Monthly Output
Cost ($)</t>
  </si>
  <si>
    <t>Total Monthly
Cost ($)</t>
  </si>
  <si>
    <t>Auto-Tagging &amp; Classification (asset type + topic)</t>
  </si>
  <si>
    <t>Content Extraction &amp; Captioning (read inside images / slides / PDFs)</t>
  </si>
  <si>
    <t>TOTAL MONTHLY COST</t>
  </si>
  <si>
    <t>FORMULA REFERENCE</t>
  </si>
  <si>
    <t>Monthly Input Cost ($)  =  (Monthly Volume × Avg Input Tokens per Req)  ÷  1,000,000  ×  Input Rate ($/1M)  from Assumptions sheet</t>
  </si>
  <si>
    <t>Monthly Output Cost ($) =  (Monthly Volume × Avg Output Tokens per Req)  ÷  1,000,000  ×  Output Rate ($/1M)  from Assumptions sheet</t>
  </si>
  <si>
    <t>Total Monthly Cost ($)  =  Monthly Input Cost  +  Monthly Output Cost</t>
  </si>
  <si>
    <t>Volume guidance for Codebasics:  New/updated assets ≈ 1,000–2,000/month (tagging + extraction each run once per asset)  |  Searches ≈ 10,000–15,000/month (~40 internal users).</t>
  </si>
  <si>
    <t>HOW THE MONTHLY VOLUMES WERE DERIVED</t>
  </si>
  <si>
    <t>Driver</t>
  </si>
  <si>
    <t>Clue from the case study + assumption</t>
  </si>
  <si>
    <t>Raw result</t>
  </si>
  <si>
    <t>Value used</t>
  </si>
  <si>
    <t>Tagging &amp; Extraction</t>
  </si>
  <si>
    <t>'Thousands of assets, more added every week' → ~1,500 new/updated assets/month; each is tagged once and captioned once.</t>
  </si>
  <si>
    <t>~1,500 / month (both)</t>
  </si>
  <si>
    <t>~40 internal users × ~300 searches/user/month → midpoint of the 10k–15k guidance band.</t>
  </si>
  <si>
    <t>40 × 300</t>
  </si>
  <si>
    <t>Embeddings (supporting)</t>
  </si>
  <si>
    <t>Embed each new asset + each query for semantic &amp; duplicate search — input-only, ≈ $0.11/mo; kept as a note, not a line.</t>
  </si>
  <si>
    <t>1,500 + 12,000</t>
  </si>
  <si>
    <t>≈ $0.11 / mo</t>
  </si>
  <si>
    <t>HOW THE TOKENS PER REQUEST WERE DERIVED  (tip: tokens = words ÷ 0.75)</t>
  </si>
  <si>
    <t>Item</t>
  </si>
  <si>
    <t>What the text is</t>
  </si>
  <si>
    <t>Words assumed (You can change, randomply kept)</t>
  </si>
  <si>
    <t>Tokens (= words ÷ 0.75)</t>
  </si>
  <si>
    <t>Tag – input</t>
  </si>
  <si>
    <t>extracted text snippet + classify prompt</t>
  </si>
  <si>
    <t>Tag – output</t>
  </si>
  <si>
    <t>asset type + topic labels (JSON)</t>
  </si>
  <si>
    <t>Extract – input</t>
  </si>
  <si>
    <t>thumbnail / slide / PDF image + instruction (vision)</t>
  </si>
  <si>
    <t>Extract – output</t>
  </si>
  <si>
    <t>caption + extracted text + tags (JSON)</t>
  </si>
  <si>
    <t>Search – input</t>
  </si>
  <si>
    <t>query + system prompt + top-k retrieved snippets (RAG)</t>
  </si>
  <si>
    <t>Search – output</t>
  </si>
  <si>
    <t>ranked explanation + clarifying question</t>
  </si>
  <si>
    <t>ONE-TIME INITIAL INDEXING (BACKFILL)</t>
  </si>
  <si>
    <t>Index the existing ~20,000-asset library once (extraction + tagging + embeddings). Real-time search cost is separate/monthly.</t>
  </si>
  <si>
    <t>Estimated one-time backfill cost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</si>
</sst>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409]#,##0.00"/>
    <numFmt numFmtId="166" formatCode="[$$-409]#,##0.000"/>
    <numFmt numFmtId="167" formatCode="[$$-409]#,##0"/>
  </numFmts>
  <fonts count="17" x14ac:knownFonts="1">
    <font>
      <sz val="11"/>
      <color theme="1"/>
      <name val="Calibri"/>
      <family val="2"/>
      <charset val="1"/>
    </font>
    <font>
      <b/>
      <sz val="14"/>
      <color rgb="FFFFFFFF"/>
      <name val="Arial"/>
      <family val="2"/>
    </font>
    <font>
      <i/>
      <sz val="9"/>
      <color rgb="FF374151"/>
      <name val="Arial"/>
      <family val="2"/>
    </font>
    <font>
      <b/>
      <sz val="10"/>
      <color rgb="FFFFFFFF"/>
      <name val="Arial"/>
      <family val="2"/>
    </font>
    <font>
      <sz val="10"/>
      <color rgb="FF000000"/>
      <name val="Arial"/>
      <family val="2"/>
    </font>
    <font>
      <b/>
      <sz val="9"/>
      <color rgb="FFFFFFFF"/>
      <name val="Arial"/>
      <family val="2"/>
    </font>
    <font>
      <b/>
      <sz val="10"/>
      <color rgb="FF1F2937"/>
      <name val="Arial"/>
      <family val="2"/>
    </font>
    <font>
      <b/>
      <sz val="13"/>
      <color rgb="FFFFFFFF"/>
      <name val="Arial"/>
      <family val="2"/>
    </font>
    <font>
      <sz val="9"/>
      <color rgb="FF6B7280"/>
      <name val="Arial"/>
      <family val="2"/>
    </font>
    <font>
      <sz val="9"/>
      <color rgb="FF0000FF"/>
      <name val="Arial"/>
      <family val="2"/>
    </font>
    <font>
      <sz val="9"/>
      <color rgb="FF374151"/>
      <name val="Arial"/>
      <family val="2"/>
    </font>
    <font>
      <sz val="9"/>
      <color rgb="FF000000"/>
      <name val="Arial"/>
      <family val="2"/>
    </font>
    <font>
      <b/>
      <sz val="10"/>
      <color theme="1"/>
      <name val="Arial"/>
      <family val="2"/>
    </font>
    <font>
      <sz val="11"/>
      <color rgb="FF0000FF"/>
      <name val="Calibri"/>
      <family val="2"/>
      <charset val="1"/>
    </font>
    <font>
      <sz val="11"/>
      <color rgb="FF008000"/>
      <name val="Calibri"/>
      <family val="2"/>
      <charset val="1"/>
    </font>
    <font>
      <b/>
      <sz val="11"/>
      <color theme="1"/>
      <name val="Calibri"/>
      <family val="2"/>
      <charset val="1"/>
    </font>
    <font>
      <i/>
      <sz val="11"/>
      <color theme="1"/>
      <name val="Calibri"/>
      <family val="2"/>
      <charset val="1"/>
    </font>
  </fonts>
  <fills count="19">
    <fill>
      <patternFill patternType="none"/>
    </fill>
    <fill>
      <patternFill patternType="gray125"/>
    </fill>
    <fill>
      <patternFill patternType="solid">
        <fgColor rgb="FF1F2937"/>
        <bgColor rgb="FF374151"/>
      </patternFill>
    </fill>
    <fill>
      <patternFill patternType="solid">
        <fgColor rgb="FFFFFDE7"/>
        <bgColor rgb="FFF9FAFB"/>
      </patternFill>
    </fill>
    <fill>
      <patternFill patternType="solid">
        <fgColor rgb="FF374151"/>
        <bgColor rgb="FF4B5563"/>
      </patternFill>
    </fill>
    <fill>
      <patternFill patternType="solid">
        <fgColor rgb="FFDBEAFE"/>
        <bgColor rgb="FFEDE9FE"/>
      </patternFill>
    </fill>
    <fill>
      <patternFill patternType="solid">
        <fgColor rgb="FFD1FAE5"/>
        <bgColor rgb="FFDBEAFE"/>
      </patternFill>
    </fill>
    <fill>
      <patternFill patternType="solid">
        <fgColor rgb="FFF59E0B"/>
        <bgColor rgb="FFFFCC00"/>
      </patternFill>
    </fill>
    <fill>
      <patternFill patternType="solid">
        <fgColor rgb="FFF9FAFB"/>
        <bgColor rgb="FFFFFFFF"/>
      </patternFill>
    </fill>
    <fill>
      <patternFill patternType="solid">
        <fgColor rgb="FF1F6B75"/>
        <bgColor rgb="FF008080"/>
      </patternFill>
    </fill>
    <fill>
      <patternFill patternType="solid">
        <fgColor rgb="FFEFF6FF"/>
        <bgColor rgb="FFF9FAFB"/>
      </patternFill>
    </fill>
    <fill>
      <patternFill patternType="solid">
        <fgColor rgb="FF7C3AED"/>
        <bgColor rgb="FF993366"/>
      </patternFill>
    </fill>
    <fill>
      <patternFill patternType="solid">
        <fgColor rgb="FFEDE9FE"/>
        <bgColor rgb="FFDBEAFE"/>
      </patternFill>
    </fill>
    <fill>
      <patternFill patternType="solid">
        <fgColor rgb="FFFFF9C4"/>
        <bgColor rgb="FFFFF3E0"/>
      </patternFill>
    </fill>
    <fill>
      <patternFill patternType="solid">
        <fgColor rgb="FF4B5563"/>
        <bgColor rgb="FF374151"/>
      </patternFill>
    </fill>
    <fill>
      <patternFill patternType="solid">
        <fgColor rgb="FFF0FDF4"/>
        <bgColor rgb="FFF9FAFB"/>
      </patternFill>
    </fill>
    <fill>
      <patternFill patternType="solid">
        <fgColor rgb="FFFFF3E0"/>
        <bgColor rgb="FFFFFDE7"/>
      </patternFill>
    </fill>
    <fill>
      <patternFill patternType="solid">
        <fgColor rgb="FFFFFFFF"/>
        <bgColor rgb="FFF9FAFB"/>
      </patternFill>
    </fill>
    <fill>
      <patternFill patternType="solid">
        <fgColor rgb="FFFFFF00"/>
        <bgColor indexed="64"/>
      </patternFill>
    </fill>
  </fills>
  <borders count="8">
    <border>
      <left/>
      <right/>
      <top/>
      <bottom/>
      <diagonal/>
    </border>
    <border>
      <left style="thin">
        <color auto="1"/>
      </left>
      <right/>
      <top style="thin">
        <color auto="1"/>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57">
    <xf numFmtId="0" fontId="0" fillId="0" borderId="0" xfId="0"/>
    <xf numFmtId="0" fontId="3" fillId="14" borderId="3" xfId="0" applyFont="1" applyFill="1" applyBorder="1" applyAlignment="1">
      <alignment horizontal="center" vertical="center" wrapText="1"/>
    </xf>
    <xf numFmtId="0" fontId="8" fillId="15" borderId="3" xfId="0" applyFont="1" applyFill="1" applyBorder="1" applyAlignment="1">
      <alignment horizontal="left" vertical="center" wrapText="1"/>
    </xf>
    <xf numFmtId="0" fontId="8" fillId="15" borderId="3" xfId="0" applyFont="1" applyFill="1" applyBorder="1" applyAlignment="1">
      <alignment horizontal="center" vertical="center" wrapText="1"/>
    </xf>
    <xf numFmtId="0" fontId="0" fillId="13" borderId="3" xfId="0" applyFill="1" applyBorder="1" applyAlignment="1">
      <alignment horizontal="left" vertical="center" wrapText="1"/>
    </xf>
    <xf numFmtId="164" fontId="0" fillId="13" borderId="3" xfId="0" applyNumberFormat="1" applyFill="1" applyBorder="1" applyAlignment="1">
      <alignment horizontal="center" vertical="center" wrapText="1"/>
    </xf>
    <xf numFmtId="0" fontId="0" fillId="13" borderId="3" xfId="0" applyFill="1" applyBorder="1" applyAlignment="1">
      <alignment horizontal="center" vertical="center" wrapText="1"/>
    </xf>
    <xf numFmtId="0" fontId="0" fillId="0" borderId="3" xfId="0" applyBorder="1"/>
    <xf numFmtId="3" fontId="13" fillId="13" borderId="3" xfId="0" applyNumberFormat="1" applyFont="1" applyFill="1" applyBorder="1" applyAlignment="1">
      <alignment horizontal="center" vertical="center" wrapText="1"/>
    </xf>
    <xf numFmtId="165" fontId="14" fillId="13" borderId="3" xfId="0" applyNumberFormat="1" applyFont="1" applyFill="1" applyBorder="1" applyAlignment="1">
      <alignment horizontal="center" vertical="center" wrapText="1"/>
    </xf>
    <xf numFmtId="165" fontId="12" fillId="16" borderId="3" xfId="0" applyNumberFormat="1" applyFont="1" applyFill="1" applyBorder="1" applyAlignment="1">
      <alignment horizontal="center" vertical="center"/>
    </xf>
    <xf numFmtId="166" fontId="9" fillId="15" borderId="3" xfId="0" applyNumberFormat="1" applyFont="1" applyFill="1" applyBorder="1" applyAlignment="1">
      <alignment horizontal="center" vertical="center" wrapText="1"/>
    </xf>
    <xf numFmtId="166" fontId="13" fillId="13" borderId="3" xfId="0" applyNumberFormat="1" applyFont="1" applyFill="1" applyBorder="1" applyAlignment="1">
      <alignment horizontal="center" vertical="center" wrapText="1"/>
    </xf>
    <xf numFmtId="165" fontId="0" fillId="13" borderId="3" xfId="0" applyNumberFormat="1" applyFill="1" applyBorder="1" applyAlignment="1">
      <alignment horizontal="center" vertical="center" wrapText="1"/>
    </xf>
    <xf numFmtId="0" fontId="15" fillId="0" borderId="0" xfId="0" applyFont="1"/>
    <xf numFmtId="0" fontId="0" fillId="0" borderId="0" xfId="0" quotePrefix="1"/>
    <xf numFmtId="3" fontId="0" fillId="0" borderId="0" xfId="0" applyNumberFormat="1"/>
    <xf numFmtId="3" fontId="14" fillId="0" borderId="0" xfId="0" applyNumberFormat="1" applyFont="1"/>
    <xf numFmtId="3" fontId="13" fillId="0" borderId="0" xfId="0" applyNumberFormat="1" applyFont="1"/>
    <xf numFmtId="0" fontId="16" fillId="0" borderId="0" xfId="0" applyFont="1"/>
    <xf numFmtId="167" fontId="13" fillId="0" borderId="0" xfId="0" applyNumberFormat="1" applyFont="1"/>
    <xf numFmtId="9" fontId="0" fillId="0" borderId="0" xfId="0" applyNumberFormat="1"/>
    <xf numFmtId="165" fontId="0" fillId="0" borderId="0" xfId="0" applyNumberFormat="1"/>
    <xf numFmtId="0" fontId="0" fillId="0" borderId="3" xfId="0" applyBorder="1" applyAlignment="1">
      <alignment wrapText="1"/>
    </xf>
    <xf numFmtId="0" fontId="15" fillId="0" borderId="0" xfId="0" applyFont="1" applyAlignment="1">
      <alignment horizontal="center"/>
    </xf>
    <xf numFmtId="0" fontId="15" fillId="18" borderId="3" xfId="0" applyFont="1" applyFill="1" applyBorder="1" applyAlignment="1">
      <alignment wrapText="1"/>
    </xf>
    <xf numFmtId="0" fontId="15" fillId="18" borderId="3" xfId="0" applyFont="1" applyFill="1" applyBorder="1"/>
    <xf numFmtId="0" fontId="3" fillId="7" borderId="2" xfId="0" applyFont="1" applyFill="1" applyBorder="1" applyAlignment="1">
      <alignment horizontal="center" vertical="center" wrapText="1"/>
    </xf>
    <xf numFmtId="0" fontId="0" fillId="0" borderId="6" xfId="0" applyBorder="1"/>
    <xf numFmtId="0" fontId="3" fillId="2" borderId="0" xfId="0" applyFont="1" applyFill="1" applyAlignment="1">
      <alignment horizontal="left" vertical="center" wrapText="1"/>
    </xf>
    <xf numFmtId="0" fontId="0" fillId="0" borderId="0" xfId="0"/>
    <xf numFmtId="0" fontId="11" fillId="5" borderId="2" xfId="0" applyFont="1" applyFill="1" applyBorder="1" applyAlignment="1">
      <alignment horizontal="left" vertical="center" wrapText="1"/>
    </xf>
    <xf numFmtId="0" fontId="11" fillId="12" borderId="2" xfId="0" applyFont="1" applyFill="1" applyBorder="1" applyAlignment="1">
      <alignment horizontal="left" vertical="center" wrapText="1"/>
    </xf>
    <xf numFmtId="0" fontId="3" fillId="4" borderId="0" xfId="0" applyFont="1" applyFill="1" applyAlignment="1">
      <alignment horizontal="center" vertical="center" wrapText="1"/>
    </xf>
    <xf numFmtId="0" fontId="7" fillId="2" borderId="0" xfId="0" applyFont="1" applyFill="1" applyAlignment="1">
      <alignment horizontal="center" vertical="center" wrapText="1"/>
    </xf>
    <xf numFmtId="0" fontId="2" fillId="3" borderId="0" xfId="0" applyFont="1" applyFill="1" applyAlignment="1">
      <alignment horizontal="left" vertical="center" wrapText="1"/>
    </xf>
    <xf numFmtId="0" fontId="3" fillId="7" borderId="0" xfId="0" applyFont="1" applyFill="1" applyAlignment="1">
      <alignment horizontal="center" vertical="center" wrapText="1"/>
    </xf>
    <xf numFmtId="0" fontId="6" fillId="7" borderId="2"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9" borderId="2" xfId="0" applyFont="1" applyFill="1" applyBorder="1" applyAlignment="1">
      <alignment horizontal="center" vertical="center" wrapText="1"/>
    </xf>
    <xf numFmtId="0" fontId="4" fillId="6" borderId="1" xfId="0" applyFont="1" applyFill="1" applyBorder="1" applyAlignment="1">
      <alignment horizontal="left" vertical="top" wrapText="1"/>
    </xf>
    <xf numFmtId="0" fontId="0" fillId="0" borderId="4" xfId="0" applyBorder="1"/>
    <xf numFmtId="0" fontId="0" fillId="0" borderId="5" xfId="0" applyBorder="1"/>
    <xf numFmtId="0" fontId="4" fillId="5"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1" fillId="2" borderId="0" xfId="0" applyFont="1" applyFill="1" applyAlignment="1">
      <alignment horizontal="center" vertical="center" wrapText="1"/>
    </xf>
    <xf numFmtId="0" fontId="4" fillId="13" borderId="1" xfId="0" applyFont="1" applyFill="1" applyBorder="1" applyAlignment="1">
      <alignment horizontal="left" vertical="top" wrapText="1"/>
    </xf>
    <xf numFmtId="0" fontId="3" fillId="11" borderId="0" xfId="0" applyFont="1" applyFill="1" applyAlignment="1">
      <alignment horizontal="center" vertical="center" wrapText="1"/>
    </xf>
    <xf numFmtId="0" fontId="4" fillId="12" borderId="1" xfId="0" applyFont="1" applyFill="1" applyBorder="1" applyAlignment="1">
      <alignment horizontal="left" vertical="top" wrapText="1"/>
    </xf>
    <xf numFmtId="0" fontId="15" fillId="18" borderId="3" xfId="0" applyFont="1" applyFill="1" applyBorder="1" applyAlignment="1">
      <alignment horizontal="center" wrapText="1"/>
    </xf>
    <xf numFmtId="0" fontId="0" fillId="0" borderId="7" xfId="0" applyBorder="1"/>
    <xf numFmtId="0" fontId="15" fillId="0" borderId="0" xfId="0" applyFont="1" applyAlignment="1">
      <alignment horizontal="center"/>
    </xf>
    <xf numFmtId="0" fontId="16" fillId="0" borderId="0" xfId="0" applyFont="1" applyAlignment="1">
      <alignment horizontal="center" wrapText="1"/>
    </xf>
    <xf numFmtId="0" fontId="10" fillId="5" borderId="0" xfId="0" applyFont="1" applyFill="1" applyAlignment="1">
      <alignment horizontal="left" vertical="center" wrapText="1"/>
    </xf>
    <xf numFmtId="0" fontId="10" fillId="8" borderId="2" xfId="0" applyFont="1" applyFill="1" applyBorder="1" applyAlignment="1">
      <alignment horizontal="left" vertical="center" wrapText="1"/>
    </xf>
    <xf numFmtId="0" fontId="10" fillId="17"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B75"/>
      <rgbColor rgb="FFEFF6FF"/>
      <rgbColor rgb="FF808080"/>
      <rgbColor rgb="FF9999FF"/>
      <rgbColor rgb="FF7C3AED"/>
      <rgbColor rgb="FFFFF9C4"/>
      <rgbColor rgb="FFDBEAFE"/>
      <rgbColor rgb="FF660066"/>
      <rgbColor rgb="FFFF8080"/>
      <rgbColor rgb="FF0066CC"/>
      <rgbColor rgb="FFEDE9FE"/>
      <rgbColor rgb="FF000080"/>
      <rgbColor rgb="FFFF00FF"/>
      <rgbColor rgb="FFFFFF00"/>
      <rgbColor rgb="FF00FFFF"/>
      <rgbColor rgb="FF800080"/>
      <rgbColor rgb="FF800000"/>
      <rgbColor rgb="FF008080"/>
      <rgbColor rgb="FF0000FF"/>
      <rgbColor rgb="FF00CCFF"/>
      <rgbColor rgb="FFF0FDF4"/>
      <rgbColor rgb="FFD1FAE5"/>
      <rgbColor rgb="FFFFF3E0"/>
      <rgbColor rgb="FFF9FAFB"/>
      <rgbColor rgb="FFFF99CC"/>
      <rgbColor rgb="FFCC99FF"/>
      <rgbColor rgb="FFFFFDE7"/>
      <rgbColor rgb="FF3366FF"/>
      <rgbColor rgb="FF33CCCC"/>
      <rgbColor rgb="FF99CC00"/>
      <rgbColor rgb="FFFFCC00"/>
      <rgbColor rgb="FFF59E0B"/>
      <rgbColor rgb="FFFF6600"/>
      <rgbColor rgb="FF6B7280"/>
      <rgbColor rgb="FF969696"/>
      <rgbColor rgb="FF003366"/>
      <rgbColor rgb="FF10B981"/>
      <rgbColor rgb="FF003300"/>
      <rgbColor rgb="FF4B5563"/>
      <rgbColor rgb="FF993300"/>
      <rgbColor rgb="FF993366"/>
      <rgbColor rgb="FF374151"/>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6B75"/>
  </sheetPr>
  <dimension ref="A1:H76"/>
  <sheetViews>
    <sheetView showGridLines="0" tabSelected="1" zoomScaleNormal="100" workbookViewId="0">
      <selection activeCell="A54" sqref="A54:H57"/>
    </sheetView>
  </sheetViews>
  <sheetFormatPr defaultColWidth="8.7109375" defaultRowHeight="15" x14ac:dyDescent="0.25"/>
  <cols>
    <col min="1" max="1" width="22" customWidth="1"/>
    <col min="2" max="2" width="60" customWidth="1"/>
    <col min="3" max="8" width="22" customWidth="1"/>
  </cols>
  <sheetData>
    <row r="1" spans="1:8" ht="31.5" customHeight="1" x14ac:dyDescent="0.25">
      <c r="A1" s="46" t="s">
        <v>38</v>
      </c>
      <c r="B1" s="30"/>
      <c r="C1" s="30"/>
      <c r="D1" s="30"/>
      <c r="E1" s="30"/>
      <c r="F1" s="30"/>
      <c r="G1" s="30"/>
      <c r="H1" s="30"/>
    </row>
    <row r="2" spans="1:8" ht="6" customHeight="1" x14ac:dyDescent="0.25">
      <c r="A2" s="30"/>
      <c r="B2" s="30"/>
      <c r="C2" s="30"/>
      <c r="D2" s="30"/>
      <c r="E2" s="30"/>
      <c r="F2" s="30"/>
      <c r="G2" s="30"/>
      <c r="H2" s="30"/>
    </row>
    <row r="3" spans="1:8" ht="15.75" customHeight="1" x14ac:dyDescent="0.25">
      <c r="A3" s="35" t="s">
        <v>39</v>
      </c>
      <c r="B3" s="30"/>
      <c r="C3" s="30"/>
      <c r="D3" s="30"/>
      <c r="E3" s="30"/>
      <c r="F3" s="30"/>
      <c r="G3" s="30"/>
      <c r="H3" s="30"/>
    </row>
    <row r="4" spans="1:8" ht="9.75" customHeight="1" x14ac:dyDescent="0.25"/>
    <row r="5" spans="1:8" ht="19.5" customHeight="1" x14ac:dyDescent="0.25">
      <c r="A5" s="33" t="s">
        <v>40</v>
      </c>
      <c r="B5" s="30"/>
      <c r="C5" s="30"/>
      <c r="D5" s="30"/>
      <c r="E5" s="30"/>
      <c r="F5" s="30"/>
      <c r="G5" s="30"/>
      <c r="H5" s="30"/>
    </row>
    <row r="6" spans="1:8" ht="69.75" customHeight="1" x14ac:dyDescent="0.25">
      <c r="A6" s="43" t="s">
        <v>41</v>
      </c>
      <c r="B6" s="41"/>
      <c r="C6" s="41"/>
      <c r="D6" s="41"/>
      <c r="E6" s="41"/>
      <c r="F6" s="41"/>
      <c r="G6" s="41"/>
      <c r="H6" s="41"/>
    </row>
    <row r="7" spans="1:8" x14ac:dyDescent="0.25">
      <c r="A7" s="42"/>
      <c r="B7" s="30"/>
      <c r="C7" s="30"/>
      <c r="D7" s="30"/>
      <c r="E7" s="30"/>
      <c r="F7" s="30"/>
      <c r="G7" s="30"/>
      <c r="H7" s="30"/>
    </row>
    <row r="8" spans="1:8" x14ac:dyDescent="0.25">
      <c r="A8" s="42"/>
      <c r="B8" s="30"/>
      <c r="C8" s="30"/>
      <c r="D8" s="30"/>
      <c r="E8" s="30"/>
      <c r="F8" s="30"/>
      <c r="G8" s="30"/>
      <c r="H8" s="30"/>
    </row>
    <row r="9" spans="1:8" ht="9.75" customHeight="1" x14ac:dyDescent="0.25"/>
    <row r="10" spans="1:8" ht="19.5" customHeight="1" x14ac:dyDescent="0.25">
      <c r="A10" s="33" t="s">
        <v>42</v>
      </c>
      <c r="B10" s="30"/>
      <c r="C10" s="30"/>
      <c r="D10" s="30"/>
      <c r="E10" s="30"/>
      <c r="F10" s="30"/>
      <c r="G10" s="30"/>
      <c r="H10" s="30"/>
    </row>
    <row r="11" spans="1:8" ht="79.5" customHeight="1" x14ac:dyDescent="0.25">
      <c r="A11" s="40" t="s">
        <v>43</v>
      </c>
      <c r="B11" s="41"/>
      <c r="C11" s="41"/>
      <c r="D11" s="41"/>
      <c r="E11" s="41"/>
      <c r="F11" s="41"/>
      <c r="G11" s="41"/>
      <c r="H11" s="41"/>
    </row>
    <row r="12" spans="1:8" x14ac:dyDescent="0.25">
      <c r="A12" s="42"/>
      <c r="B12" s="30"/>
      <c r="C12" s="30"/>
      <c r="D12" s="30"/>
      <c r="E12" s="30"/>
      <c r="F12" s="30"/>
      <c r="G12" s="30"/>
      <c r="H12" s="30"/>
    </row>
    <row r="13" spans="1:8" x14ac:dyDescent="0.25">
      <c r="A13" s="42"/>
      <c r="B13" s="30"/>
      <c r="C13" s="30"/>
      <c r="D13" s="30"/>
      <c r="E13" s="30"/>
      <c r="F13" s="30"/>
      <c r="G13" s="30"/>
      <c r="H13" s="30"/>
    </row>
    <row r="14" spans="1:8" ht="9.75" customHeight="1" x14ac:dyDescent="0.25"/>
    <row r="15" spans="1:8" ht="19.5" customHeight="1" x14ac:dyDescent="0.25">
      <c r="A15" s="36" t="s">
        <v>44</v>
      </c>
      <c r="B15" s="30"/>
      <c r="C15" s="30"/>
      <c r="D15" s="30"/>
      <c r="E15" s="30"/>
      <c r="F15" s="30"/>
      <c r="G15" s="30"/>
      <c r="H15" s="30"/>
    </row>
    <row r="16" spans="1:8" ht="15.75" customHeight="1" x14ac:dyDescent="0.25">
      <c r="A16" s="38" t="s">
        <v>45</v>
      </c>
      <c r="B16" s="28"/>
    </row>
    <row r="17" spans="1:8" ht="21.95" customHeight="1" x14ac:dyDescent="0.25">
      <c r="A17" s="44" t="s">
        <v>46</v>
      </c>
      <c r="B17" s="41"/>
      <c r="C17" s="41"/>
      <c r="D17" s="41"/>
      <c r="E17" s="41"/>
      <c r="F17" s="41"/>
      <c r="G17" s="41"/>
      <c r="H17" s="41"/>
    </row>
    <row r="18" spans="1:8" hidden="1" x14ac:dyDescent="0.25">
      <c r="A18" s="42"/>
      <c r="B18" s="30"/>
      <c r="C18" s="30"/>
      <c r="D18" s="30"/>
      <c r="E18" s="30"/>
      <c r="F18" s="30"/>
      <c r="G18" s="30"/>
      <c r="H18" s="30"/>
    </row>
    <row r="19" spans="1:8" hidden="1" x14ac:dyDescent="0.25">
      <c r="A19" s="42"/>
      <c r="B19" s="30"/>
      <c r="C19" s="30"/>
      <c r="D19" s="30"/>
      <c r="E19" s="30"/>
      <c r="F19" s="30"/>
      <c r="G19" s="30"/>
      <c r="H19" s="30"/>
    </row>
    <row r="20" spans="1:8" ht="6" hidden="1" customHeight="1" x14ac:dyDescent="0.25"/>
    <row r="21" spans="1:8" ht="15.75" customHeight="1" x14ac:dyDescent="0.25">
      <c r="A21" s="39" t="s">
        <v>47</v>
      </c>
      <c r="B21" s="28"/>
    </row>
    <row r="22" spans="1:8" ht="69.75" customHeight="1" x14ac:dyDescent="0.25">
      <c r="A22" s="45" t="s">
        <v>48</v>
      </c>
      <c r="B22" s="41"/>
      <c r="C22" s="41"/>
      <c r="D22" s="41"/>
      <c r="E22" s="41"/>
      <c r="F22" s="41"/>
      <c r="G22" s="41"/>
      <c r="H22" s="41"/>
    </row>
    <row r="23" spans="1:8" x14ac:dyDescent="0.25">
      <c r="A23" s="42"/>
      <c r="B23" s="30"/>
      <c r="C23" s="30"/>
      <c r="D23" s="30"/>
      <c r="E23" s="30"/>
      <c r="F23" s="30"/>
      <c r="G23" s="30"/>
      <c r="H23" s="30"/>
    </row>
    <row r="24" spans="1:8" x14ac:dyDescent="0.25">
      <c r="A24" s="42"/>
      <c r="B24" s="30"/>
      <c r="C24" s="30"/>
      <c r="D24" s="30"/>
      <c r="E24" s="30"/>
      <c r="F24" s="30"/>
      <c r="G24" s="30"/>
      <c r="H24" s="30"/>
    </row>
    <row r="25" spans="1:8" ht="6" customHeight="1" x14ac:dyDescent="0.25"/>
    <row r="26" spans="1:8" ht="15.75" customHeight="1" x14ac:dyDescent="0.25">
      <c r="A26" s="38" t="s">
        <v>45</v>
      </c>
      <c r="B26" s="28"/>
    </row>
    <row r="27" spans="1:8" ht="24.95" customHeight="1" x14ac:dyDescent="0.25">
      <c r="A27" s="44" t="s">
        <v>49</v>
      </c>
      <c r="B27" s="41"/>
      <c r="C27" s="41"/>
      <c r="D27" s="41"/>
      <c r="E27" s="41"/>
      <c r="F27" s="41"/>
      <c r="G27" s="41"/>
      <c r="H27" s="41"/>
    </row>
    <row r="28" spans="1:8" hidden="1" x14ac:dyDescent="0.25">
      <c r="A28" s="42"/>
      <c r="B28" s="30"/>
      <c r="C28" s="30"/>
      <c r="D28" s="30"/>
      <c r="E28" s="30"/>
      <c r="F28" s="30"/>
      <c r="G28" s="30"/>
      <c r="H28" s="30"/>
    </row>
    <row r="29" spans="1:8" hidden="1" x14ac:dyDescent="0.25">
      <c r="A29" s="42"/>
      <c r="B29" s="30"/>
      <c r="C29" s="30"/>
      <c r="D29" s="30"/>
      <c r="E29" s="30"/>
      <c r="F29" s="30"/>
      <c r="G29" s="30"/>
      <c r="H29" s="30"/>
    </row>
    <row r="30" spans="1:8" ht="0.95" hidden="1" customHeight="1" x14ac:dyDescent="0.25"/>
    <row r="31" spans="1:8" ht="15.75" customHeight="1" x14ac:dyDescent="0.25">
      <c r="A31" s="39" t="s">
        <v>47</v>
      </c>
      <c r="B31" s="28"/>
    </row>
    <row r="32" spans="1:8" ht="69.75" customHeight="1" x14ac:dyDescent="0.25">
      <c r="A32" s="45" t="s">
        <v>50</v>
      </c>
      <c r="B32" s="41"/>
      <c r="C32" s="41"/>
      <c r="D32" s="41"/>
      <c r="E32" s="41"/>
      <c r="F32" s="41"/>
      <c r="G32" s="41"/>
      <c r="H32" s="41"/>
    </row>
    <row r="33" spans="1:8" x14ac:dyDescent="0.25">
      <c r="A33" s="42"/>
      <c r="B33" s="30"/>
      <c r="C33" s="30"/>
      <c r="D33" s="30"/>
      <c r="E33" s="30"/>
      <c r="F33" s="30"/>
      <c r="G33" s="30"/>
      <c r="H33" s="30"/>
    </row>
    <row r="34" spans="1:8" x14ac:dyDescent="0.25">
      <c r="A34" s="42"/>
      <c r="B34" s="30"/>
      <c r="C34" s="30"/>
      <c r="D34" s="30"/>
      <c r="E34" s="30"/>
      <c r="F34" s="30"/>
      <c r="G34" s="30"/>
      <c r="H34" s="30"/>
    </row>
    <row r="35" spans="1:8" ht="6" customHeight="1" x14ac:dyDescent="0.25"/>
    <row r="36" spans="1:8" ht="15.75" customHeight="1" x14ac:dyDescent="0.25">
      <c r="A36" s="38" t="s">
        <v>45</v>
      </c>
      <c r="B36" s="28"/>
    </row>
    <row r="37" spans="1:8" ht="21" customHeight="1" x14ac:dyDescent="0.25">
      <c r="A37" s="44" t="s">
        <v>51</v>
      </c>
      <c r="B37" s="41"/>
      <c r="C37" s="41"/>
      <c r="D37" s="41"/>
      <c r="E37" s="41"/>
      <c r="F37" s="41"/>
      <c r="G37" s="41"/>
      <c r="H37" s="41"/>
    </row>
    <row r="38" spans="1:8" hidden="1" x14ac:dyDescent="0.25">
      <c r="A38" s="42"/>
      <c r="B38" s="30"/>
      <c r="C38" s="30"/>
      <c r="D38" s="30"/>
      <c r="E38" s="30"/>
      <c r="F38" s="30"/>
      <c r="G38" s="30"/>
      <c r="H38" s="30"/>
    </row>
    <row r="39" spans="1:8" hidden="1" x14ac:dyDescent="0.25">
      <c r="A39" s="42"/>
      <c r="B39" s="30"/>
      <c r="C39" s="30"/>
      <c r="D39" s="30"/>
      <c r="E39" s="30"/>
      <c r="F39" s="30"/>
      <c r="G39" s="30"/>
      <c r="H39" s="30"/>
    </row>
    <row r="40" spans="1:8" ht="6" hidden="1" customHeight="1" x14ac:dyDescent="0.25"/>
    <row r="41" spans="1:8" ht="15.75" customHeight="1" x14ac:dyDescent="0.25">
      <c r="A41" s="39" t="s">
        <v>47</v>
      </c>
      <c r="B41" s="28"/>
    </row>
    <row r="42" spans="1:8" ht="69.75" customHeight="1" x14ac:dyDescent="0.25">
      <c r="A42" s="45" t="s">
        <v>52</v>
      </c>
      <c r="B42" s="41"/>
      <c r="C42" s="41"/>
      <c r="D42" s="41"/>
      <c r="E42" s="41"/>
      <c r="F42" s="41"/>
      <c r="G42" s="41"/>
      <c r="H42" s="41"/>
    </row>
    <row r="43" spans="1:8" ht="9.9499999999999993" customHeight="1" x14ac:dyDescent="0.25">
      <c r="A43" s="42"/>
      <c r="B43" s="30"/>
      <c r="C43" s="30"/>
      <c r="D43" s="30"/>
      <c r="E43" s="30"/>
      <c r="F43" s="30"/>
      <c r="G43" s="30"/>
      <c r="H43" s="30"/>
    </row>
    <row r="44" spans="1:8" hidden="1" x14ac:dyDescent="0.25">
      <c r="A44" s="42"/>
      <c r="B44" s="30"/>
      <c r="C44" s="30"/>
      <c r="D44" s="30"/>
      <c r="E44" s="30"/>
      <c r="F44" s="30"/>
      <c r="G44" s="30"/>
      <c r="H44" s="30"/>
    </row>
    <row r="45" spans="1:8" ht="6" hidden="1" customHeight="1" x14ac:dyDescent="0.25"/>
    <row r="46" spans="1:8" ht="15.75" customHeight="1" x14ac:dyDescent="0.25">
      <c r="A46" s="38" t="s">
        <v>45</v>
      </c>
      <c r="B46" s="28"/>
    </row>
    <row r="47" spans="1:8" ht="29.1" customHeight="1" x14ac:dyDescent="0.25">
      <c r="A47" s="44" t="s">
        <v>53</v>
      </c>
      <c r="B47" s="41"/>
      <c r="C47" s="41"/>
      <c r="D47" s="41"/>
      <c r="E47" s="41"/>
      <c r="F47" s="41"/>
      <c r="G47" s="41"/>
      <c r="H47" s="41"/>
    </row>
    <row r="48" spans="1:8" hidden="1" x14ac:dyDescent="0.25">
      <c r="A48" s="42"/>
      <c r="B48" s="30"/>
      <c r="C48" s="30"/>
      <c r="D48" s="30"/>
      <c r="E48" s="30"/>
      <c r="F48" s="30"/>
      <c r="G48" s="30"/>
      <c r="H48" s="30"/>
    </row>
    <row r="49" spans="1:8" ht="23.1" customHeight="1" x14ac:dyDescent="0.25">
      <c r="A49" s="42"/>
      <c r="B49" s="30"/>
      <c r="C49" s="30"/>
      <c r="D49" s="30"/>
      <c r="E49" s="30"/>
      <c r="F49" s="30"/>
      <c r="G49" s="30"/>
      <c r="H49" s="30"/>
    </row>
    <row r="50" spans="1:8" ht="6" customHeight="1" x14ac:dyDescent="0.25"/>
    <row r="51" spans="1:8" ht="9.75" customHeight="1" x14ac:dyDescent="0.25"/>
    <row r="52" spans="1:8" ht="19.5" customHeight="1" x14ac:dyDescent="0.25">
      <c r="A52" s="48" t="s">
        <v>54</v>
      </c>
      <c r="B52" s="30"/>
      <c r="C52" s="30"/>
      <c r="D52" s="30"/>
      <c r="E52" s="30"/>
      <c r="F52" s="30"/>
      <c r="G52" s="30"/>
      <c r="H52" s="30"/>
    </row>
    <row r="53" spans="1:8" ht="18" customHeight="1" x14ac:dyDescent="0.25">
      <c r="A53" s="37" t="s">
        <v>55</v>
      </c>
      <c r="B53" s="28"/>
      <c r="C53" s="28"/>
      <c r="D53" s="28"/>
      <c r="E53" s="28"/>
      <c r="F53" s="28"/>
      <c r="G53" s="28"/>
      <c r="H53" s="28"/>
    </row>
    <row r="54" spans="1:8" ht="79.5" customHeight="1" x14ac:dyDescent="0.25">
      <c r="A54" s="49" t="s">
        <v>56</v>
      </c>
      <c r="B54" s="41"/>
      <c r="C54" s="41"/>
      <c r="D54" s="41"/>
      <c r="E54" s="41"/>
      <c r="F54" s="41"/>
      <c r="G54" s="41"/>
      <c r="H54" s="41"/>
    </row>
    <row r="55" spans="1:8" x14ac:dyDescent="0.25">
      <c r="A55" s="42"/>
      <c r="B55" s="30"/>
      <c r="C55" s="30"/>
      <c r="D55" s="30"/>
      <c r="E55" s="30"/>
      <c r="F55" s="30"/>
      <c r="G55" s="30"/>
      <c r="H55" s="30"/>
    </row>
    <row r="56" spans="1:8" x14ac:dyDescent="0.25">
      <c r="A56" s="42"/>
      <c r="B56" s="30"/>
      <c r="C56" s="30"/>
      <c r="D56" s="30"/>
      <c r="E56" s="30"/>
      <c r="F56" s="30"/>
      <c r="G56" s="30"/>
      <c r="H56" s="30"/>
    </row>
    <row r="57" spans="1:8" x14ac:dyDescent="0.25">
      <c r="A57" s="42"/>
      <c r="B57" s="30"/>
      <c r="C57" s="30"/>
      <c r="D57" s="30"/>
      <c r="E57" s="30"/>
      <c r="F57" s="30"/>
      <c r="G57" s="30"/>
      <c r="H57" s="30"/>
    </row>
    <row r="58" spans="1:8" ht="7.5" customHeight="1" x14ac:dyDescent="0.25"/>
    <row r="59" spans="1:8" ht="18" customHeight="1" x14ac:dyDescent="0.25">
      <c r="A59" s="37" t="s">
        <v>57</v>
      </c>
      <c r="B59" s="28"/>
      <c r="C59" s="28"/>
      <c r="D59" s="28"/>
      <c r="E59" s="28"/>
      <c r="F59" s="28"/>
      <c r="G59" s="28"/>
      <c r="H59" s="28"/>
    </row>
    <row r="60" spans="1:8" ht="79.5" customHeight="1" x14ac:dyDescent="0.25">
      <c r="A60" s="47" t="s">
        <v>58</v>
      </c>
      <c r="B60" s="41"/>
      <c r="C60" s="41"/>
      <c r="D60" s="41"/>
      <c r="E60" s="41"/>
      <c r="F60" s="41"/>
      <c r="G60" s="41"/>
      <c r="H60" s="41"/>
    </row>
    <row r="61" spans="1:8" x14ac:dyDescent="0.25">
      <c r="A61" s="42"/>
      <c r="B61" s="30"/>
      <c r="C61" s="30"/>
      <c r="D61" s="30"/>
      <c r="E61" s="30"/>
      <c r="F61" s="30"/>
      <c r="G61" s="30"/>
      <c r="H61" s="30"/>
    </row>
    <row r="62" spans="1:8" x14ac:dyDescent="0.25">
      <c r="A62" s="42"/>
      <c r="B62" s="30"/>
      <c r="C62" s="30"/>
      <c r="D62" s="30"/>
      <c r="E62" s="30"/>
      <c r="F62" s="30"/>
      <c r="G62" s="30"/>
      <c r="H62" s="30"/>
    </row>
    <row r="63" spans="1:8" x14ac:dyDescent="0.25">
      <c r="A63" s="42"/>
      <c r="B63" s="30"/>
      <c r="C63" s="30"/>
      <c r="D63" s="30"/>
      <c r="E63" s="30"/>
      <c r="F63" s="30"/>
      <c r="G63" s="30"/>
      <c r="H63" s="30"/>
    </row>
    <row r="64" spans="1:8" ht="7.5" customHeight="1" x14ac:dyDescent="0.25"/>
    <row r="65" spans="1:8" ht="18" customHeight="1" x14ac:dyDescent="0.25">
      <c r="A65" s="37" t="s">
        <v>59</v>
      </c>
      <c r="B65" s="28"/>
      <c r="C65" s="28"/>
      <c r="D65" s="28"/>
      <c r="E65" s="28"/>
      <c r="F65" s="28"/>
      <c r="G65" s="28"/>
      <c r="H65" s="28"/>
    </row>
    <row r="66" spans="1:8" ht="79.5" customHeight="1" x14ac:dyDescent="0.25">
      <c r="A66" s="40" t="s">
        <v>60</v>
      </c>
      <c r="B66" s="41"/>
      <c r="C66" s="41"/>
      <c r="D66" s="41"/>
      <c r="E66" s="41"/>
      <c r="F66" s="41"/>
      <c r="G66" s="41"/>
      <c r="H66" s="41"/>
    </row>
    <row r="67" spans="1:8" x14ac:dyDescent="0.25">
      <c r="A67" s="42"/>
      <c r="B67" s="30"/>
      <c r="C67" s="30"/>
      <c r="D67" s="30"/>
      <c r="E67" s="30"/>
      <c r="F67" s="30"/>
      <c r="G67" s="30"/>
      <c r="H67" s="30"/>
    </row>
    <row r="68" spans="1:8" x14ac:dyDescent="0.25">
      <c r="A68" s="42"/>
      <c r="B68" s="30"/>
      <c r="C68" s="30"/>
      <c r="D68" s="30"/>
      <c r="E68" s="30"/>
      <c r="F68" s="30"/>
      <c r="G68" s="30"/>
      <c r="H68" s="30"/>
    </row>
    <row r="69" spans="1:8" x14ac:dyDescent="0.25">
      <c r="A69" s="42"/>
      <c r="B69" s="30"/>
      <c r="C69" s="30"/>
      <c r="D69" s="30"/>
      <c r="E69" s="30"/>
      <c r="F69" s="30"/>
      <c r="G69" s="30"/>
      <c r="H69" s="30"/>
    </row>
    <row r="70" spans="1:8" ht="7.5" customHeight="1" x14ac:dyDescent="0.25"/>
    <row r="71" spans="1:8" ht="18" customHeight="1" x14ac:dyDescent="0.25">
      <c r="A71" s="37" t="s">
        <v>61</v>
      </c>
      <c r="B71" s="28"/>
      <c r="C71" s="28"/>
      <c r="D71" s="28"/>
      <c r="E71" s="28"/>
      <c r="F71" s="28"/>
      <c r="G71" s="28"/>
      <c r="H71" s="28"/>
    </row>
    <row r="72" spans="1:8" ht="33" customHeight="1" x14ac:dyDescent="0.25">
      <c r="A72" s="43" t="s">
        <v>62</v>
      </c>
      <c r="B72" s="41"/>
      <c r="C72" s="41"/>
      <c r="D72" s="41"/>
      <c r="E72" s="41"/>
      <c r="F72" s="41"/>
      <c r="G72" s="41"/>
      <c r="H72" s="41"/>
    </row>
    <row r="73" spans="1:8" hidden="1" x14ac:dyDescent="0.25">
      <c r="A73" s="42"/>
      <c r="B73" s="30"/>
      <c r="C73" s="30"/>
      <c r="D73" s="30"/>
      <c r="E73" s="30"/>
      <c r="F73" s="30"/>
      <c r="G73" s="30"/>
      <c r="H73" s="30"/>
    </row>
    <row r="74" spans="1:8" hidden="1" x14ac:dyDescent="0.25">
      <c r="A74" s="42"/>
      <c r="B74" s="30"/>
      <c r="C74" s="30"/>
      <c r="D74" s="30"/>
      <c r="E74" s="30"/>
      <c r="F74" s="30"/>
      <c r="G74" s="30"/>
      <c r="H74" s="30"/>
    </row>
    <row r="75" spans="1:8" hidden="1" x14ac:dyDescent="0.25">
      <c r="A75" s="42"/>
      <c r="B75" s="30"/>
      <c r="C75" s="30"/>
      <c r="D75" s="30"/>
      <c r="E75" s="30"/>
      <c r="F75" s="30"/>
      <c r="G75" s="30"/>
      <c r="H75" s="30"/>
    </row>
    <row r="76" spans="1:8" ht="7.5" customHeight="1" x14ac:dyDescent="0.25"/>
  </sheetData>
  <mergeCells count="30">
    <mergeCell ref="A1:H2"/>
    <mergeCell ref="A17:H19"/>
    <mergeCell ref="A53:H53"/>
    <mergeCell ref="A60:H63"/>
    <mergeCell ref="A47:H49"/>
    <mergeCell ref="A52:H52"/>
    <mergeCell ref="A10:H10"/>
    <mergeCell ref="A32:H34"/>
    <mergeCell ref="A54:H57"/>
    <mergeCell ref="A22:H24"/>
    <mergeCell ref="A31:B31"/>
    <mergeCell ref="A3:H3"/>
    <mergeCell ref="A71:H71"/>
    <mergeCell ref="A37:H39"/>
    <mergeCell ref="A42:H44"/>
    <mergeCell ref="A5:H5"/>
    <mergeCell ref="A27:H29"/>
    <mergeCell ref="A66:H69"/>
    <mergeCell ref="A11:H13"/>
    <mergeCell ref="A72:H75"/>
    <mergeCell ref="A46:B46"/>
    <mergeCell ref="A6:H8"/>
    <mergeCell ref="A26:B26"/>
    <mergeCell ref="A21:B21"/>
    <mergeCell ref="A15:H15"/>
    <mergeCell ref="A59:H59"/>
    <mergeCell ref="A36:B36"/>
    <mergeCell ref="A16:B16"/>
    <mergeCell ref="A65:H65"/>
    <mergeCell ref="A41:B4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74151"/>
  </sheetPr>
  <dimension ref="A1:G34"/>
  <sheetViews>
    <sheetView showGridLines="0" topLeftCell="A20" zoomScaleNormal="100" workbookViewId="0">
      <selection activeCell="B21" sqref="B21"/>
    </sheetView>
  </sheetViews>
  <sheetFormatPr defaultColWidth="8.7109375" defaultRowHeight="15" x14ac:dyDescent="0.25"/>
  <cols>
    <col min="1" max="2" width="24" customWidth="1"/>
    <col min="3" max="3" width="18" customWidth="1"/>
    <col min="4" max="4" width="20" customWidth="1"/>
    <col min="5" max="5" width="18" customWidth="1"/>
    <col min="6" max="6" width="34.7109375" customWidth="1"/>
  </cols>
  <sheetData>
    <row r="1" spans="1:6" ht="30" customHeight="1" x14ac:dyDescent="0.25">
      <c r="A1" s="34" t="s">
        <v>63</v>
      </c>
      <c r="B1" s="30"/>
      <c r="C1" s="30"/>
      <c r="D1" s="30"/>
      <c r="E1" s="30"/>
      <c r="F1" s="30"/>
    </row>
    <row r="2" spans="1:6" ht="6" customHeight="1" x14ac:dyDescent="0.25">
      <c r="A2" s="30"/>
      <c r="B2" s="30"/>
      <c r="C2" s="30"/>
      <c r="D2" s="30"/>
      <c r="E2" s="30"/>
      <c r="F2" s="30"/>
    </row>
    <row r="3" spans="1:6" ht="18" customHeight="1" x14ac:dyDescent="0.25">
      <c r="A3" s="35" t="s">
        <v>64</v>
      </c>
      <c r="B3" s="30"/>
      <c r="C3" s="30"/>
      <c r="D3" s="30"/>
      <c r="E3" s="30"/>
      <c r="F3" s="30"/>
    </row>
    <row r="4" spans="1:6" ht="9.75" customHeight="1" x14ac:dyDescent="0.25"/>
    <row r="5" spans="1:6" ht="19.5" customHeight="1" x14ac:dyDescent="0.25">
      <c r="A5" s="33" t="s">
        <v>65</v>
      </c>
      <c r="B5" s="30"/>
      <c r="C5" s="30"/>
      <c r="D5" s="30"/>
      <c r="E5" s="30"/>
      <c r="F5" s="30"/>
    </row>
    <row r="6" spans="1:6" ht="30" customHeight="1" x14ac:dyDescent="0.25">
      <c r="A6" s="1" t="s">
        <v>66</v>
      </c>
      <c r="B6" s="1" t="s">
        <v>67</v>
      </c>
      <c r="C6" s="1" t="s">
        <v>68</v>
      </c>
      <c r="D6" s="1" t="s">
        <v>69</v>
      </c>
      <c r="E6" s="1" t="s">
        <v>70</v>
      </c>
      <c r="F6" s="1" t="s">
        <v>71</v>
      </c>
    </row>
    <row r="7" spans="1:6" ht="24" customHeight="1" x14ac:dyDescent="0.25">
      <c r="A7" s="2" t="s">
        <v>72</v>
      </c>
      <c r="B7" s="2" t="s">
        <v>10</v>
      </c>
      <c r="C7" s="11">
        <v>0.2</v>
      </c>
      <c r="D7" s="11">
        <v>0.02</v>
      </c>
      <c r="E7" s="11">
        <v>1.25</v>
      </c>
      <c r="F7" s="3" t="s">
        <v>73</v>
      </c>
    </row>
    <row r="8" spans="1:6" ht="30" customHeight="1" x14ac:dyDescent="0.25">
      <c r="A8" s="4" t="s">
        <v>74</v>
      </c>
      <c r="B8" s="4" t="s">
        <v>14</v>
      </c>
      <c r="C8" s="12">
        <v>0.75</v>
      </c>
      <c r="D8" s="12">
        <v>7.4999999999999997E-2</v>
      </c>
      <c r="E8" s="12">
        <v>4.5</v>
      </c>
      <c r="F8" s="6" t="s">
        <v>75</v>
      </c>
    </row>
    <row r="9" spans="1:6" ht="30" customHeight="1" x14ac:dyDescent="0.25">
      <c r="A9" s="4" t="s">
        <v>74</v>
      </c>
      <c r="B9" s="4" t="s">
        <v>14</v>
      </c>
      <c r="C9" s="12">
        <v>0.75</v>
      </c>
      <c r="D9" s="12">
        <v>7.4999999999999997E-2</v>
      </c>
      <c r="E9" s="12">
        <v>4.5</v>
      </c>
      <c r="F9" s="6" t="s">
        <v>76</v>
      </c>
    </row>
    <row r="10" spans="1:6" ht="18" customHeight="1" x14ac:dyDescent="0.25">
      <c r="A10" s="4" t="s">
        <v>77</v>
      </c>
      <c r="B10" s="4" t="s">
        <v>78</v>
      </c>
      <c r="C10" s="12">
        <v>0.1</v>
      </c>
      <c r="D10" s="12" t="s">
        <v>79</v>
      </c>
      <c r="E10" s="12">
        <v>0</v>
      </c>
      <c r="F10" s="6" t="s">
        <v>80</v>
      </c>
    </row>
    <row r="11" spans="1:6" ht="18" customHeight="1" x14ac:dyDescent="0.25">
      <c r="A11" s="4"/>
      <c r="B11" s="4"/>
      <c r="C11" s="5"/>
      <c r="D11" s="5"/>
      <c r="E11" s="5"/>
      <c r="F11" s="6"/>
    </row>
    <row r="12" spans="1:6" ht="18" customHeight="1" x14ac:dyDescent="0.25">
      <c r="A12" s="4"/>
      <c r="B12" s="4"/>
      <c r="C12" s="5"/>
      <c r="D12" s="5"/>
      <c r="E12" s="5"/>
      <c r="F12" s="6"/>
    </row>
    <row r="13" spans="1:6" ht="18" customHeight="1" x14ac:dyDescent="0.25">
      <c r="A13" s="4"/>
      <c r="B13" s="4"/>
      <c r="C13" s="5"/>
      <c r="D13" s="5"/>
      <c r="E13" s="5"/>
      <c r="F13" s="6"/>
    </row>
    <row r="14" spans="1:6" ht="9.75" customHeight="1" x14ac:dyDescent="0.25"/>
    <row r="15" spans="1:6" ht="18" customHeight="1" x14ac:dyDescent="0.25">
      <c r="A15" s="54" t="s">
        <v>81</v>
      </c>
      <c r="B15" s="30"/>
      <c r="C15" s="30"/>
      <c r="D15" s="30"/>
      <c r="E15" s="30"/>
      <c r="F15" s="30"/>
    </row>
    <row r="18" spans="1:7" x14ac:dyDescent="0.25">
      <c r="A18" s="52" t="s">
        <v>82</v>
      </c>
      <c r="B18" s="30"/>
      <c r="C18" s="30"/>
      <c r="D18" s="30"/>
    </row>
    <row r="19" spans="1:7" x14ac:dyDescent="0.25">
      <c r="A19" s="24"/>
      <c r="B19" s="24"/>
      <c r="C19" s="24"/>
      <c r="D19" s="24"/>
    </row>
    <row r="20" spans="1:7" x14ac:dyDescent="0.25">
      <c r="A20" s="14" t="s">
        <v>83</v>
      </c>
      <c r="B20" s="14" t="s">
        <v>84</v>
      </c>
      <c r="C20" s="14" t="s">
        <v>85</v>
      </c>
    </row>
    <row r="21" spans="1:7" x14ac:dyDescent="0.25">
      <c r="A21" t="s">
        <v>86</v>
      </c>
      <c r="B21" t="s">
        <v>10</v>
      </c>
      <c r="C21" t="s">
        <v>87</v>
      </c>
    </row>
    <row r="22" spans="1:7" x14ac:dyDescent="0.25">
      <c r="A22" t="s">
        <v>12</v>
      </c>
      <c r="B22" t="s">
        <v>14</v>
      </c>
      <c r="C22" t="s">
        <v>88</v>
      </c>
    </row>
    <row r="23" spans="1:7" x14ac:dyDescent="0.25">
      <c r="A23" t="s">
        <v>89</v>
      </c>
      <c r="B23" t="s">
        <v>14</v>
      </c>
      <c r="C23" t="s">
        <v>90</v>
      </c>
    </row>
    <row r="25" spans="1:7" x14ac:dyDescent="0.25">
      <c r="A25" s="19" t="s">
        <v>91</v>
      </c>
    </row>
    <row r="28" spans="1:7" x14ac:dyDescent="0.25">
      <c r="A28" s="14" t="s">
        <v>92</v>
      </c>
    </row>
    <row r="29" spans="1:7" x14ac:dyDescent="0.25">
      <c r="A29" s="14"/>
    </row>
    <row r="30" spans="1:7" ht="30" customHeight="1" x14ac:dyDescent="0.25">
      <c r="A30" s="25" t="s">
        <v>93</v>
      </c>
      <c r="B30" s="26" t="s">
        <v>94</v>
      </c>
      <c r="C30" s="50" t="s">
        <v>95</v>
      </c>
      <c r="D30" s="28"/>
      <c r="E30" s="28"/>
      <c r="F30" s="28"/>
      <c r="G30" s="51"/>
    </row>
    <row r="31" spans="1:7" ht="45" customHeight="1" x14ac:dyDescent="0.25">
      <c r="A31" s="23" t="s">
        <v>96</v>
      </c>
      <c r="B31" s="7" t="s">
        <v>97</v>
      </c>
      <c r="C31" s="7" t="s">
        <v>98</v>
      </c>
      <c r="D31" s="7"/>
      <c r="E31" s="7"/>
      <c r="F31" s="7"/>
      <c r="G31" s="7"/>
    </row>
    <row r="32" spans="1:7" ht="60" customHeight="1" x14ac:dyDescent="0.25">
      <c r="A32" s="23" t="s">
        <v>99</v>
      </c>
      <c r="B32" s="7" t="s">
        <v>86</v>
      </c>
      <c r="C32" s="7" t="s">
        <v>100</v>
      </c>
      <c r="D32" s="7"/>
      <c r="E32" s="7"/>
      <c r="F32" s="7"/>
      <c r="G32" s="7"/>
    </row>
    <row r="33" spans="1:7" ht="45" customHeight="1" x14ac:dyDescent="0.25">
      <c r="A33" s="23" t="s">
        <v>101</v>
      </c>
      <c r="B33" s="7" t="s">
        <v>102</v>
      </c>
      <c r="C33" s="7" t="s">
        <v>103</v>
      </c>
      <c r="D33" s="7"/>
      <c r="E33" s="7"/>
      <c r="F33" s="7"/>
      <c r="G33" s="7"/>
    </row>
    <row r="34" spans="1:7" ht="96" customHeight="1" x14ac:dyDescent="0.25">
      <c r="A34" s="53" t="s">
        <v>104</v>
      </c>
      <c r="B34" s="30"/>
      <c r="C34" s="30"/>
      <c r="D34" s="30"/>
      <c r="E34" s="30"/>
      <c r="F34" s="30"/>
    </row>
  </sheetData>
  <mergeCells count="7">
    <mergeCell ref="C30:G30"/>
    <mergeCell ref="A18:D18"/>
    <mergeCell ref="A5:F5"/>
    <mergeCell ref="A1:F2"/>
    <mergeCell ref="A34:F34"/>
    <mergeCell ref="A3:F3"/>
    <mergeCell ref="A15:F15"/>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59E0B"/>
  </sheetPr>
  <dimension ref="A1:I35"/>
  <sheetViews>
    <sheetView showGridLines="0" zoomScaleNormal="100" workbookViewId="0">
      <pane ySplit="5" topLeftCell="A14" activePane="bottomLeft" state="frozen"/>
      <selection pane="bottomLeft" activeCell="F31" sqref="F31"/>
    </sheetView>
  </sheetViews>
  <sheetFormatPr defaultColWidth="8.7109375" defaultRowHeight="15" x14ac:dyDescent="0.25"/>
  <cols>
    <col min="1" max="1" width="28" customWidth="1"/>
    <col min="2" max="2" width="22" customWidth="1"/>
    <col min="3" max="3" width="14" customWidth="1"/>
    <col min="4" max="5" width="16" customWidth="1"/>
    <col min="6" max="6" width="26" customWidth="1"/>
    <col min="7" max="9" width="18" customWidth="1"/>
  </cols>
  <sheetData>
    <row r="1" spans="1:9" ht="30" customHeight="1" x14ac:dyDescent="0.25">
      <c r="A1" s="34" t="s">
        <v>105</v>
      </c>
      <c r="B1" s="30"/>
      <c r="C1" s="30"/>
      <c r="D1" s="30"/>
      <c r="E1" s="30"/>
      <c r="F1" s="30"/>
      <c r="G1" s="30"/>
      <c r="H1" s="30"/>
    </row>
    <row r="2" spans="1:9" ht="6" customHeight="1" x14ac:dyDescent="0.25">
      <c r="A2" s="30"/>
      <c r="B2" s="30"/>
      <c r="C2" s="30"/>
      <c r="D2" s="30"/>
      <c r="E2" s="30"/>
      <c r="F2" s="30"/>
      <c r="G2" s="30"/>
      <c r="H2" s="30"/>
    </row>
    <row r="3" spans="1:9" ht="18" customHeight="1" x14ac:dyDescent="0.25">
      <c r="A3" s="35" t="s">
        <v>106</v>
      </c>
      <c r="B3" s="30"/>
      <c r="C3" s="30"/>
      <c r="D3" s="30"/>
      <c r="E3" s="30"/>
      <c r="F3" s="30"/>
      <c r="G3" s="30"/>
      <c r="H3" s="30"/>
    </row>
    <row r="4" spans="1:9" ht="9.75" customHeight="1" x14ac:dyDescent="0.25"/>
    <row r="5" spans="1:9" ht="19.5" customHeight="1" x14ac:dyDescent="0.25">
      <c r="A5" s="33" t="s">
        <v>107</v>
      </c>
      <c r="B5" s="30"/>
      <c r="C5" s="30"/>
      <c r="D5" s="30"/>
      <c r="E5" s="30"/>
      <c r="F5" s="30"/>
      <c r="G5" s="30"/>
      <c r="H5" s="30"/>
    </row>
    <row r="6" spans="1:9" ht="25.5" customHeight="1" x14ac:dyDescent="0.25">
      <c r="A6" s="1" t="s">
        <v>3</v>
      </c>
      <c r="B6" s="1" t="s">
        <v>108</v>
      </c>
      <c r="C6" s="1" t="s">
        <v>109</v>
      </c>
      <c r="D6" s="1" t="s">
        <v>110</v>
      </c>
      <c r="E6" s="1" t="s">
        <v>111</v>
      </c>
      <c r="F6" s="1" t="s">
        <v>112</v>
      </c>
      <c r="G6" s="1" t="s">
        <v>113</v>
      </c>
      <c r="H6" s="1" t="s">
        <v>114</v>
      </c>
      <c r="I6" s="1" t="s">
        <v>115</v>
      </c>
    </row>
    <row r="7" spans="1:9" ht="30" customHeight="1" x14ac:dyDescent="0.25">
      <c r="A7" s="4" t="s">
        <v>116</v>
      </c>
      <c r="B7" s="4" t="s">
        <v>9</v>
      </c>
      <c r="C7" s="8">
        <v>1500</v>
      </c>
      <c r="D7" s="8">
        <v>400</v>
      </c>
      <c r="E7" s="8">
        <v>20</v>
      </c>
      <c r="F7" s="6" t="s">
        <v>10</v>
      </c>
      <c r="G7" s="13">
        <f>(C7*D7/1000000)*Assumptions!$C$7</f>
        <v>0.12</v>
      </c>
      <c r="H7" s="13">
        <f>(C7*E7/1000000)*Assumptions!$E$7</f>
        <v>3.7499999999999999E-2</v>
      </c>
      <c r="I7" s="13">
        <f>G7+H7</f>
        <v>0.1575</v>
      </c>
    </row>
    <row r="8" spans="1:9" ht="30" customHeight="1" x14ac:dyDescent="0.25">
      <c r="A8" s="4" t="s">
        <v>117</v>
      </c>
      <c r="B8" s="4" t="s">
        <v>13</v>
      </c>
      <c r="C8" s="8">
        <v>1500</v>
      </c>
      <c r="D8" s="8">
        <v>1200</v>
      </c>
      <c r="E8" s="8">
        <v>300</v>
      </c>
      <c r="F8" s="6" t="s">
        <v>14</v>
      </c>
      <c r="G8" s="13">
        <f>(C8*D8/1000000)*Assumptions!$C$8</f>
        <v>1.35</v>
      </c>
      <c r="H8" s="13">
        <f>(C8*E8/1000000)*Assumptions!$E$8</f>
        <v>2.0249999999999999</v>
      </c>
      <c r="I8" s="13">
        <f>G8+H8</f>
        <v>3.375</v>
      </c>
    </row>
    <row r="9" spans="1:9" ht="30" customHeight="1" x14ac:dyDescent="0.25">
      <c r="A9" s="4" t="s">
        <v>16</v>
      </c>
      <c r="B9" s="4" t="s">
        <v>17</v>
      </c>
      <c r="C9" s="8">
        <v>12000</v>
      </c>
      <c r="D9" s="8">
        <v>1500</v>
      </c>
      <c r="E9" s="8">
        <v>200</v>
      </c>
      <c r="F9" s="6" t="s">
        <v>14</v>
      </c>
      <c r="G9" s="13">
        <f>(C9*D9/1000000)*Assumptions!$C$9</f>
        <v>13.5</v>
      </c>
      <c r="H9" s="13">
        <f>(C9*E9/1000000)*Assumptions!$E$9</f>
        <v>10.799999999999999</v>
      </c>
      <c r="I9" s="13">
        <f>G9+H9</f>
        <v>24.299999999999997</v>
      </c>
    </row>
    <row r="10" spans="1:9" ht="21.75" customHeight="1" x14ac:dyDescent="0.25">
      <c r="A10" s="27" t="s">
        <v>118</v>
      </c>
      <c r="B10" s="28"/>
      <c r="C10" s="28"/>
      <c r="D10" s="28"/>
      <c r="E10" s="28"/>
      <c r="F10" s="28"/>
      <c r="G10" s="10">
        <f>SUM(G7:G9)</f>
        <v>14.97</v>
      </c>
      <c r="H10" s="10">
        <f>SUM(H7:H9)</f>
        <v>12.862499999999999</v>
      </c>
      <c r="I10" s="10">
        <f>SUM(I7:I9)</f>
        <v>27.832499999999996</v>
      </c>
    </row>
    <row r="11" spans="1:9" ht="9.75" customHeight="1" x14ac:dyDescent="0.25"/>
    <row r="12" spans="1:9" ht="15" customHeight="1" x14ac:dyDescent="0.25">
      <c r="A12" s="29" t="s">
        <v>119</v>
      </c>
      <c r="B12" s="30"/>
      <c r="C12" s="30"/>
      <c r="D12" s="30"/>
      <c r="E12" s="30"/>
      <c r="F12" s="30"/>
      <c r="G12" s="30"/>
      <c r="H12" s="30"/>
      <c r="I12" s="30"/>
    </row>
    <row r="13" spans="1:9" ht="15.75" customHeight="1" x14ac:dyDescent="0.25">
      <c r="A13" s="55" t="s">
        <v>120</v>
      </c>
      <c r="B13" s="28"/>
      <c r="C13" s="28"/>
      <c r="D13" s="28"/>
      <c r="E13" s="28"/>
      <c r="F13" s="28"/>
      <c r="G13" s="28"/>
      <c r="H13" s="28"/>
      <c r="I13" s="28"/>
    </row>
    <row r="14" spans="1:9" ht="15.75" customHeight="1" x14ac:dyDescent="0.25">
      <c r="A14" s="56" t="s">
        <v>121</v>
      </c>
      <c r="B14" s="28"/>
      <c r="C14" s="28"/>
      <c r="D14" s="28"/>
      <c r="E14" s="28"/>
      <c r="F14" s="28"/>
      <c r="G14" s="28"/>
      <c r="H14" s="28"/>
      <c r="I14" s="28"/>
    </row>
    <row r="15" spans="1:9" ht="15.75" customHeight="1" x14ac:dyDescent="0.25">
      <c r="A15" s="55" t="s">
        <v>122</v>
      </c>
      <c r="B15" s="28"/>
      <c r="C15" s="28"/>
      <c r="D15" s="28"/>
      <c r="E15" s="28"/>
      <c r="F15" s="28"/>
      <c r="G15" s="28"/>
      <c r="H15" s="28"/>
      <c r="I15" s="28"/>
    </row>
    <row r="16" spans="1:9" ht="15.75" customHeight="1" x14ac:dyDescent="0.25">
      <c r="A16" s="56" t="s">
        <v>123</v>
      </c>
      <c r="B16" s="28"/>
      <c r="C16" s="28"/>
      <c r="D16" s="28"/>
      <c r="E16" s="28"/>
      <c r="F16" s="28"/>
      <c r="G16" s="28"/>
      <c r="H16" s="28"/>
      <c r="I16" s="28"/>
    </row>
    <row r="18" spans="1:8" x14ac:dyDescent="0.25">
      <c r="A18" s="14" t="s">
        <v>124</v>
      </c>
    </row>
    <row r="19" spans="1:8" x14ac:dyDescent="0.25">
      <c r="A19" s="14" t="s">
        <v>125</v>
      </c>
      <c r="B19" s="14" t="s">
        <v>126</v>
      </c>
      <c r="F19" s="14" t="s">
        <v>29</v>
      </c>
      <c r="G19" s="14" t="s">
        <v>127</v>
      </c>
      <c r="H19" s="14" t="s">
        <v>128</v>
      </c>
    </row>
    <row r="20" spans="1:8" x14ac:dyDescent="0.25">
      <c r="A20" t="s">
        <v>129</v>
      </c>
      <c r="B20" s="15" t="s">
        <v>130</v>
      </c>
      <c r="F20" t="s">
        <v>131</v>
      </c>
      <c r="G20" s="16">
        <f>1500</f>
        <v>1500</v>
      </c>
      <c r="H20" s="17">
        <f>C7</f>
        <v>1500</v>
      </c>
    </row>
    <row r="21" spans="1:8" x14ac:dyDescent="0.25">
      <c r="A21" t="s">
        <v>89</v>
      </c>
      <c r="B21" t="s">
        <v>132</v>
      </c>
      <c r="F21" t="s">
        <v>133</v>
      </c>
      <c r="G21" s="16">
        <f>40*300</f>
        <v>12000</v>
      </c>
      <c r="H21" s="17">
        <f>C9</f>
        <v>12000</v>
      </c>
    </row>
    <row r="22" spans="1:8" x14ac:dyDescent="0.25">
      <c r="A22" t="s">
        <v>134</v>
      </c>
      <c r="B22" s="15" t="s">
        <v>135</v>
      </c>
      <c r="F22" t="s">
        <v>136</v>
      </c>
      <c r="G22" s="16">
        <f>1500+12000</f>
        <v>13500</v>
      </c>
      <c r="H22" s="17" t="s">
        <v>137</v>
      </c>
    </row>
    <row r="24" spans="1:8" x14ac:dyDescent="0.25">
      <c r="A24" s="14" t="s">
        <v>138</v>
      </c>
    </row>
    <row r="25" spans="1:8" x14ac:dyDescent="0.25">
      <c r="A25" s="14" t="s">
        <v>139</v>
      </c>
      <c r="B25" s="14" t="s">
        <v>140</v>
      </c>
      <c r="F25" s="14" t="s">
        <v>141</v>
      </c>
      <c r="G25" s="14" t="s">
        <v>142</v>
      </c>
      <c r="H25" s="14" t="s">
        <v>128</v>
      </c>
    </row>
    <row r="26" spans="1:8" x14ac:dyDescent="0.25">
      <c r="A26" t="s">
        <v>143</v>
      </c>
      <c r="B26" t="s">
        <v>144</v>
      </c>
      <c r="F26" s="18">
        <v>300</v>
      </c>
      <c r="G26" s="16">
        <f t="shared" ref="G26:G31" si="0">F26/0.75</f>
        <v>400</v>
      </c>
      <c r="H26" s="17">
        <f>D7</f>
        <v>400</v>
      </c>
    </row>
    <row r="27" spans="1:8" x14ac:dyDescent="0.25">
      <c r="A27" t="s">
        <v>145</v>
      </c>
      <c r="B27" t="s">
        <v>146</v>
      </c>
      <c r="F27" s="18">
        <v>15</v>
      </c>
      <c r="G27" s="16">
        <f t="shared" si="0"/>
        <v>20</v>
      </c>
      <c r="H27" s="17">
        <f>E7</f>
        <v>20</v>
      </c>
    </row>
    <row r="28" spans="1:8" x14ac:dyDescent="0.25">
      <c r="A28" t="s">
        <v>147</v>
      </c>
      <c r="B28" t="s">
        <v>148</v>
      </c>
      <c r="F28" s="18">
        <v>900</v>
      </c>
      <c r="G28" s="16">
        <f t="shared" si="0"/>
        <v>1200</v>
      </c>
      <c r="H28" s="17">
        <f>D8</f>
        <v>1200</v>
      </c>
    </row>
    <row r="29" spans="1:8" x14ac:dyDescent="0.25">
      <c r="A29" t="s">
        <v>149</v>
      </c>
      <c r="B29" t="s">
        <v>150</v>
      </c>
      <c r="F29" s="18">
        <v>225</v>
      </c>
      <c r="G29" s="16">
        <f t="shared" si="0"/>
        <v>300</v>
      </c>
      <c r="H29" s="17">
        <f>E8</f>
        <v>300</v>
      </c>
    </row>
    <row r="30" spans="1:8" x14ac:dyDescent="0.25">
      <c r="A30" t="s">
        <v>151</v>
      </c>
      <c r="B30" t="s">
        <v>152</v>
      </c>
      <c r="F30" s="18">
        <v>1125</v>
      </c>
      <c r="G30" s="16">
        <f t="shared" si="0"/>
        <v>1500</v>
      </c>
      <c r="H30" s="17">
        <f>D9</f>
        <v>1500</v>
      </c>
    </row>
    <row r="31" spans="1:8" x14ac:dyDescent="0.25">
      <c r="A31" t="s">
        <v>153</v>
      </c>
      <c r="B31" t="s">
        <v>154</v>
      </c>
      <c r="F31" s="18">
        <v>150</v>
      </c>
      <c r="G31" s="16">
        <f t="shared" si="0"/>
        <v>200</v>
      </c>
      <c r="H31" s="17">
        <f>E9</f>
        <v>200</v>
      </c>
    </row>
    <row r="33" spans="1:9" x14ac:dyDescent="0.25">
      <c r="A33" s="14" t="s">
        <v>155</v>
      </c>
    </row>
    <row r="34" spans="1:9" x14ac:dyDescent="0.25">
      <c r="A34" s="14" t="s">
        <v>156</v>
      </c>
    </row>
    <row r="35" spans="1:9" x14ac:dyDescent="0.25">
      <c r="A35" s="14" t="s">
        <v>157</v>
      </c>
      <c r="I35" s="13">
        <f>(20000*1200/1000000*Assumptions!C8)+(20000*300/1000000*Assumptions!E8)+(20000*400/1000000*Assumptions!C7)+(20000*20/1000000*Assumptions!E7)+(20000*500/1000000*0.1)</f>
        <v>48.1</v>
      </c>
    </row>
  </sheetData>
  <mergeCells count="9">
    <mergeCell ref="A1:H2"/>
    <mergeCell ref="A16:I16"/>
    <mergeCell ref="A15:I15"/>
    <mergeCell ref="A3:H3"/>
    <mergeCell ref="A10:F10"/>
    <mergeCell ref="A13:I13"/>
    <mergeCell ref="A14:I14"/>
    <mergeCell ref="A5:H5"/>
    <mergeCell ref="A12:I1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0B981"/>
  </sheetPr>
  <dimension ref="A1:E28"/>
  <sheetViews>
    <sheetView showGridLines="0" zoomScaleNormal="100" workbookViewId="0">
      <selection activeCell="C27" sqref="C27"/>
    </sheetView>
  </sheetViews>
  <sheetFormatPr defaultColWidth="8.7109375" defaultRowHeight="15" x14ac:dyDescent="0.25"/>
  <cols>
    <col min="1" max="1" width="28" customWidth="1"/>
    <col min="2" max="3" width="26" customWidth="1"/>
    <col min="4" max="4" width="22" customWidth="1"/>
    <col min="5" max="5" width="42" customWidth="1"/>
  </cols>
  <sheetData>
    <row r="1" spans="1:5" ht="30" customHeight="1" x14ac:dyDescent="0.25">
      <c r="A1" s="34" t="s">
        <v>0</v>
      </c>
      <c r="B1" s="30"/>
      <c r="C1" s="30"/>
      <c r="D1" s="30"/>
      <c r="E1" s="30"/>
    </row>
    <row r="2" spans="1:5" ht="6" customHeight="1" x14ac:dyDescent="0.25">
      <c r="A2" s="30"/>
      <c r="B2" s="30"/>
      <c r="C2" s="30"/>
      <c r="D2" s="30"/>
      <c r="E2" s="30"/>
    </row>
    <row r="3" spans="1:5" ht="15.75" customHeight="1" x14ac:dyDescent="0.25">
      <c r="A3" s="35" t="s">
        <v>1</v>
      </c>
      <c r="B3" s="30"/>
      <c r="C3" s="30"/>
      <c r="D3" s="30"/>
      <c r="E3" s="30"/>
    </row>
    <row r="4" spans="1:5" ht="9.75" customHeight="1" x14ac:dyDescent="0.25"/>
    <row r="5" spans="1:5" ht="19.5" customHeight="1" x14ac:dyDescent="0.25">
      <c r="A5" s="33" t="s">
        <v>2</v>
      </c>
      <c r="B5" s="30"/>
      <c r="C5" s="30"/>
      <c r="D5" s="30"/>
      <c r="E5" s="30"/>
    </row>
    <row r="6" spans="1:5" ht="25.5" customHeight="1" x14ac:dyDescent="0.25">
      <c r="A6" s="1" t="s">
        <v>3</v>
      </c>
      <c r="B6" s="1" t="s">
        <v>4</v>
      </c>
      <c r="C6" s="1" t="s">
        <v>5</v>
      </c>
      <c r="D6" s="1" t="s">
        <v>6</v>
      </c>
      <c r="E6" s="1" t="s">
        <v>7</v>
      </c>
    </row>
    <row r="7" spans="1:5" ht="45" customHeight="1" x14ac:dyDescent="0.25">
      <c r="A7" s="4" t="s">
        <v>8</v>
      </c>
      <c r="B7" s="4" t="s">
        <v>9</v>
      </c>
      <c r="C7" s="4" t="s">
        <v>10</v>
      </c>
      <c r="D7" s="9">
        <f>'Cost Estimator'!I7</f>
        <v>0.1575</v>
      </c>
      <c r="E7" s="4" t="s">
        <v>11</v>
      </c>
    </row>
    <row r="8" spans="1:5" ht="42" customHeight="1" x14ac:dyDescent="0.25">
      <c r="A8" s="4" t="s">
        <v>12</v>
      </c>
      <c r="B8" s="4" t="s">
        <v>13</v>
      </c>
      <c r="C8" s="4" t="s">
        <v>14</v>
      </c>
      <c r="D8" s="9">
        <f>'Cost Estimator'!I8</f>
        <v>3.375</v>
      </c>
      <c r="E8" s="4" t="s">
        <v>15</v>
      </c>
    </row>
    <row r="9" spans="1:5" ht="41.1" customHeight="1" x14ac:dyDescent="0.25">
      <c r="A9" s="4" t="s">
        <v>16</v>
      </c>
      <c r="B9" s="4" t="s">
        <v>17</v>
      </c>
      <c r="C9" s="4" t="s">
        <v>14</v>
      </c>
      <c r="D9" s="9">
        <f>'Cost Estimator'!I9</f>
        <v>24.299999999999997</v>
      </c>
      <c r="E9" s="4" t="s">
        <v>18</v>
      </c>
    </row>
    <row r="10" spans="1:5" ht="21.75" customHeight="1" x14ac:dyDescent="0.25">
      <c r="A10" s="27" t="s">
        <v>19</v>
      </c>
      <c r="B10" s="28"/>
      <c r="C10" s="28"/>
      <c r="D10" s="10">
        <f>SUM(D7:D9)</f>
        <v>27.832499999999996</v>
      </c>
      <c r="E10" s="7"/>
    </row>
    <row r="11" spans="1:5" ht="9.75" customHeight="1" x14ac:dyDescent="0.25"/>
    <row r="12" spans="1:5" ht="15" customHeight="1" x14ac:dyDescent="0.25">
      <c r="A12" s="29" t="s">
        <v>20</v>
      </c>
      <c r="B12" s="30"/>
      <c r="C12" s="30"/>
      <c r="D12" s="30"/>
      <c r="E12" s="30"/>
    </row>
    <row r="13" spans="1:5" ht="18" customHeight="1" x14ac:dyDescent="0.25">
      <c r="A13" s="32" t="s">
        <v>21</v>
      </c>
      <c r="B13" s="28"/>
      <c r="C13" s="28"/>
      <c r="D13" s="28"/>
      <c r="E13" s="28"/>
    </row>
    <row r="14" spans="1:5" ht="18" customHeight="1" x14ac:dyDescent="0.25">
      <c r="A14" s="31" t="s">
        <v>22</v>
      </c>
      <c r="B14" s="28"/>
      <c r="C14" s="28"/>
      <c r="D14" s="28"/>
      <c r="E14" s="28"/>
    </row>
    <row r="15" spans="1:5" ht="18" customHeight="1" x14ac:dyDescent="0.25">
      <c r="A15" s="32" t="s">
        <v>23</v>
      </c>
      <c r="B15" s="28"/>
      <c r="C15" s="28"/>
      <c r="D15" s="28"/>
      <c r="E15" s="28"/>
    </row>
    <row r="16" spans="1:5" ht="18" customHeight="1" x14ac:dyDescent="0.25">
      <c r="A16" s="31" t="s">
        <v>24</v>
      </c>
      <c r="B16" s="28"/>
      <c r="C16" s="28"/>
      <c r="D16" s="28"/>
      <c r="E16" s="28"/>
    </row>
    <row r="17" spans="1:5" ht="18" customHeight="1" x14ac:dyDescent="0.25">
      <c r="A17" s="32" t="s">
        <v>25</v>
      </c>
      <c r="B17" s="28"/>
      <c r="C17" s="28"/>
      <c r="D17" s="28"/>
      <c r="E17" s="28"/>
    </row>
    <row r="19" spans="1:5" x14ac:dyDescent="0.25">
      <c r="A19" s="14" t="s">
        <v>26</v>
      </c>
    </row>
    <row r="20" spans="1:5" x14ac:dyDescent="0.25">
      <c r="A20" t="s">
        <v>27</v>
      </c>
      <c r="D20" s="20">
        <v>100</v>
      </c>
    </row>
    <row r="21" spans="1:5" x14ac:dyDescent="0.25">
      <c r="A21" s="14" t="s">
        <v>28</v>
      </c>
      <c r="C21" s="14" t="s">
        <v>29</v>
      </c>
      <c r="D21" s="14" t="s">
        <v>30</v>
      </c>
    </row>
    <row r="22" spans="1:5" x14ac:dyDescent="0.25">
      <c r="A22" t="s">
        <v>31</v>
      </c>
      <c r="C22" s="15">
        <f>D8 / D10</f>
        <v>0.12126111560226356</v>
      </c>
      <c r="D22" s="21">
        <f>D8/D10</f>
        <v>0.12126111560226356</v>
      </c>
    </row>
    <row r="23" spans="1:5" x14ac:dyDescent="0.25">
      <c r="A23" s="14" t="s">
        <v>32</v>
      </c>
      <c r="C23" s="15">
        <f>D9 / D10</f>
        <v>0.8730800323362975</v>
      </c>
      <c r="D23" s="21">
        <f>D9/D10</f>
        <v>0.8730800323362975</v>
      </c>
    </row>
    <row r="24" spans="1:5" x14ac:dyDescent="0.25">
      <c r="A24" t="s">
        <v>33</v>
      </c>
      <c r="C24" s="15">
        <f>D7 / D10</f>
        <v>5.6588520614389657E-3</v>
      </c>
      <c r="D24" s="21">
        <f>D7/D10</f>
        <v>5.6588520614389657E-3</v>
      </c>
    </row>
    <row r="25" spans="1:5" x14ac:dyDescent="0.25">
      <c r="A25" s="14" t="s">
        <v>34</v>
      </c>
      <c r="C25" s="15">
        <f>D10 / D20</f>
        <v>0.27832499999999993</v>
      </c>
      <c r="D25" s="21">
        <f>D10/D20</f>
        <v>0.27832499999999993</v>
      </c>
    </row>
    <row r="26" spans="1:5" x14ac:dyDescent="0.25">
      <c r="A26" t="s">
        <v>35</v>
      </c>
      <c r="C26" s="15">
        <f>(D7 + D8) * 50%</f>
        <v>1.7662500000000001</v>
      </c>
      <c r="D26" s="22">
        <f>(D7+D8)*0.5</f>
        <v>1.7662500000000001</v>
      </c>
    </row>
    <row r="27" spans="1:5" x14ac:dyDescent="0.25">
      <c r="A27" t="s">
        <v>36</v>
      </c>
      <c r="C27" t="s">
        <v>37</v>
      </c>
      <c r="D27" s="22">
        <f>'Cost Estimator'!I35</f>
        <v>48.1</v>
      </c>
    </row>
    <row r="28" spans="1:5" x14ac:dyDescent="0.25">
      <c r="A28" s="19"/>
    </row>
  </sheetData>
  <mergeCells count="10">
    <mergeCell ref="A1:E2"/>
    <mergeCell ref="A13:E13"/>
    <mergeCell ref="A14:E14"/>
    <mergeCell ref="A17:E17"/>
    <mergeCell ref="A3:E3"/>
    <mergeCell ref="A10:C10"/>
    <mergeCell ref="A12:E12"/>
    <mergeCell ref="A16:E16"/>
    <mergeCell ref="A15:E15"/>
    <mergeCell ref="A5:E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Case Study</vt:lpstr>
      <vt:lpstr>Assumptions</vt:lpstr>
      <vt:lpstr>Cost Estimator</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Aakash Pardeshi</dc:creator>
  <cp:lastModifiedBy>Gheewala, Chirag (CCI-Atlanta)</cp:lastModifiedBy>
  <cp:revision>0</cp:revision>
  <dcterms:created xsi:type="dcterms:W3CDTF">2026-06-12T07:36:14Z</dcterms:created>
  <dcterms:modified xsi:type="dcterms:W3CDTF">2026-07-27T01:39:07Z</dcterms:modified>
  <dc:language>en-US</dc:language>
</cp:coreProperties>
</file>